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ing scheme - Basic" sheetId="1" r:id="rId4"/>
    <sheet state="visible" name="Master questionnaire - Basic le" sheetId="2" r:id="rId5"/>
    <sheet state="visible" name="Master questionnaire-General" sheetId="3" r:id="rId6"/>
    <sheet state="visible" name="Master questionnaire - Advanced" sheetId="4" r:id="rId7"/>
    <sheet state="visible" name="Scoring methodology - Advanced" sheetId="5" r:id="rId8"/>
    <sheet state="visible" name="Sheet8" sheetId="6" r:id="rId9"/>
    <sheet state="visible" name="Sheet9" sheetId="7" r:id="rId10"/>
    <sheet state="visible" name="ESG framework coding" sheetId="8" r:id="rId11"/>
    <sheet state="visible" name="ESG Subcategories" sheetId="9" r:id="rId12"/>
    <sheet state="visible" name="Governance questions from CSA h" sheetId="10" r:id="rId13"/>
  </sheets>
  <definedNames/>
  <calcPr/>
  <pivotCaches>
    <pivotCache cacheId="0" r:id="rId14"/>
    <pivotCache cacheId="1" r:id="rId15"/>
    <pivotCache cacheId="2" r:id="rId16"/>
    <pivotCache cacheId="3" r:id="rId17"/>
  </pivotCaches>
  <extLst>
    <ext uri="GoogleSheetsCustomDataVersion2">
      <go:sheetsCustomData xmlns:go="http://customooxmlschemas.google.com/" r:id="rId18" roundtripDataChecksum="SJZA1R/4YzczUFAsYnAk27PsJoxlHNTW01pGc+SBkDE="/>
    </ext>
  </extLst>
</workbook>
</file>

<file path=xl/sharedStrings.xml><?xml version="1.0" encoding="utf-8"?>
<sst xmlns="http://schemas.openxmlformats.org/spreadsheetml/2006/main" count="2630" uniqueCount="774">
  <si>
    <t>COUNTA of Core/Strategic</t>
  </si>
  <si>
    <t>Core/Strategic</t>
  </si>
  <si>
    <t>ESG</t>
  </si>
  <si>
    <t>Core</t>
  </si>
  <si>
    <t>Strategic</t>
  </si>
  <si>
    <t>Grand Total</t>
  </si>
  <si>
    <t>Environment</t>
  </si>
  <si>
    <t>Governance</t>
  </si>
  <si>
    <t>Social</t>
  </si>
  <si>
    <t>Maximum marks - ESG Core only</t>
  </si>
  <si>
    <t>Maximum marks - ESG Core + Strategic</t>
  </si>
  <si>
    <t>S.No.</t>
  </si>
  <si>
    <t>ESG Sub-category</t>
  </si>
  <si>
    <t>Question statement</t>
  </si>
  <si>
    <t>Type of question (Standalone, linked)</t>
  </si>
  <si>
    <t>Response options for radio questions</t>
  </si>
  <si>
    <t>Evidence required</t>
  </si>
  <si>
    <t>Score</t>
  </si>
  <si>
    <t>Remarks by the responder</t>
  </si>
  <si>
    <t>Guidelines for strategic questions</t>
  </si>
  <si>
    <t>Source</t>
  </si>
  <si>
    <t>Energy management</t>
  </si>
  <si>
    <t>Do you track your electricity usage each month/annually?</t>
  </si>
  <si>
    <t>Standalone</t>
  </si>
  <si>
    <t>Yes/No</t>
  </si>
  <si>
    <t>Internal electricity consumption tracking report/excel sheet</t>
  </si>
  <si>
    <t>Yes: 1
No: 0</t>
  </si>
  <si>
    <t xml:space="preserve">BRSR - P6, Essential Indicators , CDP - C6 &amp; C8 </t>
  </si>
  <si>
    <t>Do you consume electricity from renewable sources?</t>
  </si>
  <si>
    <t>Linked to previous</t>
  </si>
  <si>
    <t>Yes, we have a captive plant on-site for self-consumption; 
Yes, we have a captive plant off-site for self-consumption; 
Yes, we have signed a power purchase agreement with an RE company for supply of green power; 
Yes, we purchase green power from power trading platforms; 
No, we do not consume renewable energy in our operations</t>
  </si>
  <si>
    <t>Contract with RE power company/Internal RE power consumption tracking report/excel sheet</t>
  </si>
  <si>
    <t>Yes: 1 (options 1 to 4)
No: 0</t>
  </si>
  <si>
    <t>Question to be shown only if answer to previous question is 'Yes'</t>
  </si>
  <si>
    <t>Do you track your total fuel consumed from non-renewable and renewable sources each month/annually?</t>
  </si>
  <si>
    <t>Internal fuel consumption tracking report/excel sheet</t>
  </si>
  <si>
    <t>Do you consume any kind of biofuel?</t>
  </si>
  <si>
    <t>-</t>
  </si>
  <si>
    <t xml:space="preserve">BRSR - P6, Essential Indicators , CDP - Climate 
</t>
  </si>
  <si>
    <t>Mention the type of biofuel consumed.</t>
  </si>
  <si>
    <t>User input</t>
  </si>
  <si>
    <t>Bill showing purchase of biofuel with quantity mentioned</t>
  </si>
  <si>
    <t>BRSR - P6, Essential Indicators , CDP - C8</t>
  </si>
  <si>
    <t>GHG emissions</t>
  </si>
  <si>
    <t>Do you monitor Scope 1 emissions?</t>
  </si>
  <si>
    <t>Internal GHG emissions tracking report/excel sheet;
Screenshot of ESG/GHG dashboard</t>
  </si>
  <si>
    <t>BRSR - P6, Essential Indicators, CDP C6 &amp; C6.1</t>
  </si>
  <si>
    <t>Do you monitor Scope 2 emissions (from purchased electricity)?</t>
  </si>
  <si>
    <t>BRSR - P6 - Essential Indicator 7, CDP - C6 , GHG Protocol</t>
  </si>
  <si>
    <t>Do you monitor Scope 3 emissions ?</t>
  </si>
  <si>
    <t>Yes, for few categories of Scope 3; Yes, for all categories relevant for our business; No</t>
  </si>
  <si>
    <t>BRSR - P6 - Leadership Indicator, CDP - Scope 3 Value Chain , GRI 305 - 3</t>
  </si>
  <si>
    <t>Water management</t>
  </si>
  <si>
    <t>Do you monitor your total water withdrawal each month/annually?</t>
  </si>
  <si>
    <t>Water bills of last three months;
Borewell water withdrawal record</t>
  </si>
  <si>
    <t>BRSR - P6 - Essential Indicator 3, CDP - Water Security , Sustainability Report -&gt; Water Management / Water Stewardship</t>
  </si>
  <si>
    <t>Do you monitor your total water consumption each month/annually?</t>
  </si>
  <si>
    <t>Internal water use/consumption/discharge tracking report/excel sheet;
Water flowmeter screenshot/calibration certificate</t>
  </si>
  <si>
    <t>BRSR - P6 , EI 3 , CDP Water Security , Sustainability Report -&gt; Water Management</t>
  </si>
  <si>
    <t>Do you monitor your total wastewater discharged (treated/untreated) each month/annually?</t>
  </si>
  <si>
    <t>Internal water use/consumption/discharge tracking report/excel sheet</t>
  </si>
  <si>
    <t>BRSR P6 EI-3, CDP Water Security, Sustainability Report -&gt; Effluent/Wastewater Management</t>
  </si>
  <si>
    <t>Waste management</t>
  </si>
  <si>
    <t>Do you track the total waste disposed by waste type annually?</t>
  </si>
  <si>
    <t>Internal waste disposed tracking report/excel sheet</t>
  </si>
  <si>
    <t>BRSR P6 EI-9, CDP Waste Module, Sustainability Report -&gt; Waste Management/Circularity</t>
  </si>
  <si>
    <t>Do you segregate waste into hazardous and non-hazardous categories?</t>
  </si>
  <si>
    <t>Waste Segregation (Hazardous/Non-Hazardous) -&gt; BRSR P6 EI-9, Sustainability Report -&gt; Waste Management, GRI 306 Waste</t>
  </si>
  <si>
    <t>Do you maintain Form-10 for hazardous waste disposed?</t>
  </si>
  <si>
    <t>Recent Form-10</t>
  </si>
  <si>
    <t>Hazardous Waste Rules Form-10, SPCB/HSPCB Records, Sustainability Report -&gt; Hazardous Waste Management/Compliance</t>
  </si>
  <si>
    <t>Air emissions</t>
  </si>
  <si>
    <t>Do you conduct air emissions testing (quaterly/annually)?</t>
  </si>
  <si>
    <t>Recent air emissions test report</t>
  </si>
  <si>
    <t>BRSR - P6,  EI-7, Sustainability Report -&gt; Air Emissions/Environmental Monitoring, CPCB/SPCB Stack Monitoring Reports, CEMS/OCEMS Reports</t>
  </si>
  <si>
    <t>Chemicals management</t>
  </si>
  <si>
    <t>Do you maintain MSDS for chemicals stored/used at your site?</t>
  </si>
  <si>
    <t>OSHA Hazard Communication Standard, Chemical Inventory/SDS Register, Sustainability Report -&gt; Chemical Safety/Hazardous Chemical Management</t>
  </si>
  <si>
    <t>Do you train employees on safe handling of chemicals?</t>
  </si>
  <si>
    <t>Training record of employees who attended training on safe handling of chemicals (with date, name and signature of trainer and trainees)</t>
  </si>
  <si>
    <t>OSHA HazCom 1910.1200, SDS/MSDS Training Records, Sustainability Report -&gt; Occupational Health &amp; Safety/Chemical Safety Training</t>
  </si>
  <si>
    <t>Compliance</t>
  </si>
  <si>
    <t>Do you have a valid CTO (Consent to operate)?</t>
  </si>
  <si>
    <t>PCB/Pollution Control Board CTO Certificate, Environmental Compliance Records, Sustainability Report -&gt; Regulatory Compliance/Environmental Compliance</t>
  </si>
  <si>
    <t>Do you have a valid CTE (Consent to establish)?</t>
  </si>
  <si>
    <t>SPCB/Pollution Control Board CTE Certificate, Environmental Compliance Records, Sustainability Report -&gt; Regulatory Compliance/Environmental Compliance</t>
  </si>
  <si>
    <t>Certification</t>
  </si>
  <si>
    <t>Do you have ISO 14001 certification for your environment management system?</t>
  </si>
  <si>
    <t>ISO 14001 Certification -&gt; ISO 14001 EMS Certificate, Sustainability Report -&gt; Environmental Management System (EMS), Annual Report -&gt; Certifications/Compliance</t>
  </si>
  <si>
    <t>Were there any major violations of environmental regulations in last three years?</t>
  </si>
  <si>
    <t>Yes: 0
No: 1</t>
  </si>
  <si>
    <t>BRSR P1/P6, Annual Report -&gt; Legal/Regulatory Compliance, Sustainability Report -&gt; Compliance/Environmental Incidents, SPCB/CPCB Notices &amp; Litigation Records</t>
  </si>
  <si>
    <t>Health and safety</t>
  </si>
  <si>
    <t>Do you record Lost Time Injuries?</t>
  </si>
  <si>
    <t>Screenshot of internal safety incident register/logbook;
Internal safety incident tracking report/excel sheet</t>
  </si>
  <si>
    <t>Do you record number of fatalities?</t>
  </si>
  <si>
    <t>Do you record first aid cases?</t>
  </si>
  <si>
    <t>Do you record near misses?</t>
  </si>
  <si>
    <t>Do you provide safety induction training to employees and workers?</t>
  </si>
  <si>
    <t>Training record (with date, name and signature of trainer and trainees, name of training)</t>
  </si>
  <si>
    <t>Do you provide health insurance to your employees?</t>
  </si>
  <si>
    <t>Health insurance corporate policy with policy number</t>
  </si>
  <si>
    <t>Do you provide annual health check up to all employees and workers?</t>
  </si>
  <si>
    <t>Communication email showing date and timing of health check up, photos clicked during check up</t>
  </si>
  <si>
    <t>Are workers covered under ESIC (Employee State Insurance Corporation)?</t>
  </si>
  <si>
    <t>Yes, 100% of workers are covered under ESIC; Yes, less than 100% of workers are covered under ESIC; No</t>
  </si>
  <si>
    <t>Relevant clause from worker contract mentioning ESIC</t>
  </si>
  <si>
    <t>Were there any major violations of safety related regulations in last three years?</t>
  </si>
  <si>
    <t>Are safety related accidents reported to the Factory Inspector and ESIC as required?</t>
  </si>
  <si>
    <t>Sample of Form-18 (Fatality) or Form-21 (Injuries) if available</t>
  </si>
  <si>
    <t>Do you have mechanism for employees and workers to report grievances?</t>
  </si>
  <si>
    <t>Document with details of grievance redressal mechanism</t>
  </si>
  <si>
    <t>Do you conduct safety and hazard related risk assessments for your site?</t>
  </si>
  <si>
    <t>Hazard Identification and Risk Assessment document</t>
  </si>
  <si>
    <t>Do you have ISO 45001 certification?</t>
  </si>
  <si>
    <t>Certificate</t>
  </si>
  <si>
    <t>Have you taken measures to ensure fire safety on site?</t>
  </si>
  <si>
    <t>Training of employees and workers on fire safety (with date, name and signature of trainer and trainees, name of training)</t>
  </si>
  <si>
    <t>Employee welfare</t>
  </si>
  <si>
    <t>Do you provide maternity benefits to your female mployees?</t>
  </si>
  <si>
    <t>Screenshot of relevant clause from employee offer letter</t>
  </si>
  <si>
    <t>Diversity and inclusivity</t>
  </si>
  <si>
    <t>What is the percentage of women in your total workforce?</t>
  </si>
  <si>
    <t>&lt;5%; 
&lt;10%; 
&gt;10%</t>
  </si>
  <si>
    <t>Employee headcount master file showing male and female breakup of all employees and workers</t>
  </si>
  <si>
    <t>Do you provide retirement benefits like PF and gratuity to your employees?</t>
  </si>
  <si>
    <t>Relevant clause from employee compensation policy</t>
  </si>
  <si>
    <t>Human rights</t>
  </si>
  <si>
    <t>Do you ensure that no worker/employee is below 18 years of age at the time of joining?</t>
  </si>
  <si>
    <t>Document showing employee age verification procedure</t>
  </si>
  <si>
    <t>Do you have a POSH policy?</t>
  </si>
  <si>
    <t>POSH policy</t>
  </si>
  <si>
    <t>Do you have an Internal Complaints Committee (ICC) for handling POSH cases?</t>
  </si>
  <si>
    <t>Do you provide training/awareness session to employees on POSH?</t>
  </si>
  <si>
    <t>Do you cover POSH details as part of your annual report?</t>
  </si>
  <si>
    <t>Employee training and development</t>
  </si>
  <si>
    <t>Do you provide skill upgradation trainings periodically to your employees and workers?</t>
  </si>
  <si>
    <t>Ethics</t>
  </si>
  <si>
    <t>Do you have a Code of Conduct/Code of Ethics/Ethics policy?</t>
  </si>
  <si>
    <t>Code of Conduct/Code of Ethics/Ethics policy</t>
  </si>
  <si>
    <t>Supplier assessment</t>
  </si>
  <si>
    <t>Do you have a document with procedure for vendor selection and procurement processes?</t>
  </si>
  <si>
    <t>Document showing vendor selection process</t>
  </si>
  <si>
    <t>Do you conduct capacity building for your suppliers on ESG/Sustainability?</t>
  </si>
  <si>
    <t>Training material/presentation for suppliers on ESG/Sustainability</t>
  </si>
  <si>
    <t>Do you provide minimum wage to your employees and workers?</t>
  </si>
  <si>
    <t>Yes, we provide equal to minimum wage to all employees and workers; 
Yes, we provide more than minimum wage toall employees and workers; 
No</t>
  </si>
  <si>
    <t xml:space="preserve">Screenshot of wage register, Copy of minimum wage notification </t>
  </si>
  <si>
    <t>Were there any major labour laws (Wages, PF, ESI, POSH etc.) related violations in the last three years?</t>
  </si>
  <si>
    <t>Leadership</t>
  </si>
  <si>
    <t>Do you have a governance structure responsible for key business decisions and responsible busines conduct?</t>
  </si>
  <si>
    <t xml:space="preserve">Yes, we have a Board of Directors;
Yes, we have a Proprietarship declaration;
Yes, we have an LLP agreement;
Yes. we have an Management Committee;
Yes, we have an informal advisory board;
Yes, we have a formal advisory board;
No
</t>
  </si>
  <si>
    <t>Document with details of Board of Directors/ Proprietarship declaration/ LLP agreement/ Management Committee Charter/ Document with details of advisory board members</t>
  </si>
  <si>
    <t>Do you have a mechanism for reporting and handling ethics/code of conduct violations?</t>
  </si>
  <si>
    <t>Yes, we have a policy for reporting and handling ethics/code of conduct violations;
Yes, we have an whistleblower procedure;
Yes, we have a committee set up for handling such violations;
No</t>
  </si>
  <si>
    <t>Policy document/ WHistleblower procedure document/ Details of committee handling ethics violations</t>
  </si>
  <si>
    <t>Customer satisfaction</t>
  </si>
  <si>
    <t>Do you have a mechanism for reporting and handling customer complaints?</t>
  </si>
  <si>
    <t>Yes, we have a policy for reporting and handling customer complaints;
Yes, we have a dedicated team for handling customer complaints;
Yes, we handle customer complaints alongside other customer related queries;
No</t>
  </si>
  <si>
    <t>Policy document</t>
  </si>
  <si>
    <t>Data protection</t>
  </si>
  <si>
    <t>Do you have a mechanism for data protection and cybersecurity?</t>
  </si>
  <si>
    <t>Yes, we have a data protection policy;
Yes, we have taken measures for data protection;
No</t>
  </si>
  <si>
    <t>Sl no.</t>
  </si>
  <si>
    <t>General Disclosures</t>
  </si>
  <si>
    <t>Input</t>
  </si>
  <si>
    <t>Reference framework</t>
  </si>
  <si>
    <t>Corporate Identity Number (CIN) of the Listed Entity</t>
  </si>
  <si>
    <t>BRSR Section A -&gt; General Disclosures -&gt; Details of Listed Entity, Annual Report -&gt; Corporate Information, MCA Company Master Data</t>
  </si>
  <si>
    <t>Name of the Listed Entity</t>
  </si>
  <si>
    <t>Year of incorporation</t>
  </si>
  <si>
    <t>BRSR Section A -&gt; General Disclosures, Annual Report -&gt; Corporate Information, MCA Company Master Data -&gt; Date of Incorporation</t>
  </si>
  <si>
    <t>Registered office address</t>
  </si>
  <si>
    <t>Corporate address</t>
  </si>
  <si>
    <t>Financial year for which data is being disclosed</t>
  </si>
  <si>
    <t>BRSR Section A -&gt; General Disclosures -&gt; Details of Listed Entity, Annual Report -&gt; Reporting Period/Financial Highlights</t>
  </si>
  <si>
    <t>Name of the Stock Exchange(s) where shares are listed</t>
  </si>
  <si>
    <t>BRSR Section A -&gt; General Disclosures -&gt; Details of Listed Entity, Annual Report -&gt; Corporate Information, NSE/BSE Company Profile</t>
  </si>
  <si>
    <t>Name and contact details (telephone, email address) of the person who may be contacted in case of any queries on the BRSR report</t>
  </si>
  <si>
    <t>BRSR Section A -&gt; General Disclosures -&gt; Details of Listed Entity, Annual Report -&gt; Corporate Information/Sustainability Governance, GRI 2-3 Contact Point</t>
  </si>
  <si>
    <t>Reporting boundary - Are the disclosures under this report made on a standalone basis (i.e. only for the entity) or on a consolidated basis (i.e. for the entity and all the entities which form a part of its consolidated financial statements, taken together).</t>
  </si>
  <si>
    <t>BRSR Section A Q13 -&gt; General Disclosures, Annual Report -&gt; Basis of Reporting/Reporting Boundary, Integrated Report -&gt; Reporting Scope</t>
  </si>
  <si>
    <t>Name of assurance provider</t>
  </si>
  <si>
    <t>BRSR Section A -&gt; General Disclosures -&gt; Assurance Details, BRSR Core Assurance Statement, Sustainability Report -&gt; Independent Assurance/Assurance Statement</t>
  </si>
  <si>
    <t>Type of assurance obtained</t>
  </si>
  <si>
    <t>BRSR Section A -&gt; Assurance Details (Reasonable/Limited Assurance), BRSR Core Assurance Statement, Sustainability Report -&gt; Independent Assurance Statement</t>
  </si>
  <si>
    <t>Total turnover/revenue of the entity</t>
  </si>
  <si>
    <t>BRSR Section A -&gt; General Disclosures/CSR Details, Annual Report -&gt; Financial Highlights/Revenue from Operations, Financial Statements -&gt; Statement of Profit &amp; Loss</t>
  </si>
  <si>
    <t>Total turnover/revenue from the products/services sold by the entity</t>
  </si>
  <si>
    <t>BRSR Section A Q15 -&gt; Products/Services Sold by Entity (% of Total Turnover Contributed), Annual Report -&gt; Segment Revenue/Business Activities</t>
  </si>
  <si>
    <t>Number of plants (national)</t>
  </si>
  <si>
    <t>BRSR Section A -&gt; Operations -&gt; Number of locations where plants/offices are situated, Sustainability Report -&gt; Operational Footprint/Manufacturing Facilities, Annual Report -&gt; Operations Overview</t>
  </si>
  <si>
    <t>Number of plants (international)</t>
  </si>
  <si>
    <t>BRSR Section A -&gt; Operations -&gt; Number of locations where plants/offices are situated (International), Sustainability Report -&gt; Global Operations/Manufacturing Footprint, Annual Report -&gt; Operations Overview</t>
  </si>
  <si>
    <t>Number of offices (national)</t>
  </si>
  <si>
    <t>BRSR Section A -&gt; Operations -&gt; Number of locations where plants/offices are situated (National), Sustainability Report -&gt; Operational Footprint, Annual Report -&gt; Operations Overview</t>
  </si>
  <si>
    <t>Number of offices (international)</t>
  </si>
  <si>
    <t>BRSR Section A -&gt; Operations -&gt; Number of locations where plants/offices are situated (International), Sustainability Report -&gt; Global Operations/Operational Footprint, Annual Report -&gt; Operations Overview</t>
  </si>
  <si>
    <t>Details of employees</t>
  </si>
  <si>
    <t>Current FY</t>
  </si>
  <si>
    <t>Current FY 2</t>
  </si>
  <si>
    <t>Previous FY</t>
  </si>
  <si>
    <t>Previous FY 2</t>
  </si>
  <si>
    <t>Male</t>
  </si>
  <si>
    <t>Female</t>
  </si>
  <si>
    <t>Total permanent employees</t>
  </si>
  <si>
    <t>Total non-permanent employees</t>
  </si>
  <si>
    <t>Total employees</t>
  </si>
  <si>
    <t>Total permanent workers</t>
  </si>
  <si>
    <t>Total non-permanent workers</t>
  </si>
  <si>
    <t>Total workers</t>
  </si>
  <si>
    <t>Details of employees and workers with disability</t>
  </si>
  <si>
    <t>Total permanent employees with disability</t>
  </si>
  <si>
    <t>Total non-permanent employees with disability</t>
  </si>
  <si>
    <t>Total employees with disability</t>
  </si>
  <si>
    <t>Total permanent workers with disability</t>
  </si>
  <si>
    <t>Total non-permanent workers with disability</t>
  </si>
  <si>
    <t>Total workers with disability</t>
  </si>
  <si>
    <t>Details of the Board</t>
  </si>
  <si>
    <t>Total independent directors</t>
  </si>
  <si>
    <t>Total non-executive directors who are not independant</t>
  </si>
  <si>
    <t>Total executive directors</t>
  </si>
  <si>
    <t>Assessment attibute</t>
  </si>
  <si>
    <t>UoM</t>
  </si>
  <si>
    <t>Reference framework(s)</t>
  </si>
  <si>
    <t>BRSR Question#</t>
  </si>
  <si>
    <t>Type of question (Radio, Text)</t>
  </si>
  <si>
    <t>Type of response required (Text, Yes/No, Numeric, Alphanumeric)</t>
  </si>
  <si>
    <t>Supporting Document</t>
  </si>
  <si>
    <t>Remarks / Comments</t>
  </si>
  <si>
    <t>Max score</t>
  </si>
  <si>
    <t>Min score</t>
  </si>
  <si>
    <t>Count</t>
  </si>
  <si>
    <t>Energy</t>
  </si>
  <si>
    <t>Policy</t>
  </si>
  <si>
    <t>Does the company have a policy on energy management?</t>
  </si>
  <si>
    <t>NA</t>
  </si>
  <si>
    <t>BRSR, Ecovadis</t>
  </si>
  <si>
    <t>SECTION B, Question 1 (P6)</t>
  </si>
  <si>
    <r>
      <rPr>
        <rFont val="Arial"/>
        <color theme="1"/>
      </rPr>
      <t xml:space="preserve">1. We have a policy document on/covering energy management with qualitative objectives </t>
    </r>
    <r>
      <rPr>
        <rFont val="Arial"/>
        <b/>
        <color theme="1"/>
      </rPr>
      <t>and</t>
    </r>
    <r>
      <rPr>
        <rFont val="Arial"/>
        <color theme="1"/>
      </rPr>
      <t xml:space="preserve"> quantitative targets mentionedl in the policy or elsehwere
2. We have a policy document on/covering energy management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energy management across our operations
</t>
    </r>
  </si>
  <si>
    <t>Policy Document</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</si>
  <si>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</si>
  <si>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Actions</t>
  </si>
  <si>
    <t>What actions has the company taken to reduce its energy consumption? Please select all that apply</t>
  </si>
  <si>
    <t>Ecovadis</t>
  </si>
  <si>
    <t>PRINCIPLE 6, Leadership Indicators, Question 4</t>
  </si>
  <si>
    <t>a) We provide training to employees on energy conservation and climate action
b) We engage in purchase or generation of renewable energy
c) We conduct energy audits
d) We take actions to reduce energy consumption of lighting systems
e) We take actions to reduce energy consumption of HVAC (heating, ventilation, and air conditioning) systems
f) We take other actions
g) No action taken
h) Do not know</t>
  </si>
  <si>
    <t>a) #Training material
#Training record
b) #Invoice
#Contractual agreement
c) #Energy audit report
#Sustainability assurance statement
d) #Lighting system installation records
e) #HVAC system installation records
f) # Annual Report
# CSR/Sustainability Report
# Other relevant document</t>
  </si>
  <si>
    <r>
      <rPr>
        <rFont val="Arial"/>
        <color theme="1"/>
      </rPr>
      <t xml:space="preserve">Max score: </t>
    </r>
    <r>
      <rPr>
        <rFont val="Arial"/>
        <b/>
        <color theme="1"/>
      </rPr>
      <t>6</t>
    </r>
    <r>
      <rPr>
        <rFont val="Arial"/>
        <color theme="1"/>
      </rPr>
      <t xml:space="preserve"> (max score is obtained when all the options except the last two are selected)
No score: 'No actions in place' and 'do not know'
</t>
    </r>
  </si>
  <si>
    <t xml:space="preserve">Energy </t>
  </si>
  <si>
    <t>Performance</t>
  </si>
  <si>
    <t>Total energy consumption (in GJ)</t>
  </si>
  <si>
    <t>GJ</t>
  </si>
  <si>
    <t>XX</t>
  </si>
  <si>
    <t>YY</t>
  </si>
  <si>
    <t xml:space="preserve">PRINCIPLE 6, Essential Indicators, Question 1
</t>
  </si>
  <si>
    <t>Text</t>
  </si>
  <si>
    <t>Numeric</t>
  </si>
  <si>
    <t># Internal record
# Annual/Sustainability Report
# Report provided by third party</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</si>
  <si>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</si>
  <si>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renewable energy consumption (in GJ) (covers bio-based fuels and electricity from renewable sources)</t>
  </si>
  <si>
    <t>PRINCIPLE 6, Essential Indicators, Question 1(A,B,C)</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</si>
  <si>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</si>
  <si>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non-renewable energy (fuel only) consumption (in GJ)</t>
  </si>
  <si>
    <t>BRSR</t>
  </si>
  <si>
    <t xml:space="preserve">PRINCIPLE 6, Essential Indicators, Question 1(E)
</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</si>
  <si>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</si>
  <si>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electricity (grid) consumed (in kWh)</t>
  </si>
  <si>
    <t>kWh</t>
  </si>
  <si>
    <t xml:space="preserve">PRINCIPLE 6, Essential Indicators, Question 1(D)
</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</si>
  <si>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</si>
  <si>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electricity from renewable sources consumed (in kWh)</t>
  </si>
  <si>
    <t xml:space="preserve">PRINCIPLE 6, Essential Indicators, Question 1(A)
</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</si>
  <si>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</si>
  <si>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Have you conducted audit/assurance of your energy consumption?</t>
  </si>
  <si>
    <t>PRINCIPLE 6, Essential Indicators, Question 1 (Note on independent assessment)</t>
  </si>
  <si>
    <t>Radio</t>
  </si>
  <si>
    <t>1. Yes, conducted through external agency
2. No</t>
  </si>
  <si>
    <t># Annual/Sustainability Report
# Report provided by third party</t>
  </si>
  <si>
    <r>
      <rPr>
        <rFont val="Arial"/>
        <color theme="1"/>
      </rPr>
      <t xml:space="preserve">Option 1: </t>
    </r>
    <r>
      <rPr>
        <rFont val="Arial"/>
        <b/>
        <color theme="1"/>
      </rPr>
      <t>1</t>
    </r>
    <r>
      <rPr>
        <rFont val="Arial"/>
        <color theme="1"/>
      </rPr>
      <t xml:space="preserve">
Option 2: </t>
    </r>
    <r>
      <rPr>
        <rFont val="Arial"/>
        <b/>
        <color theme="1"/>
      </rPr>
      <t>0</t>
    </r>
  </si>
  <si>
    <t>What arrangement do you have in place for electricity consumed from renewable sources? Please select all that apply.</t>
  </si>
  <si>
    <t>General</t>
  </si>
  <si>
    <t>-We have a captive plant on-site for self-consumption
-We have a captive plant off-site for self-consumption
-We have signed a power purchase agreement with an RE company for supply of green power
-We purchase green power from power trading platforms
-We purchase renewable energy certificates only
-Other (Please specify)</t>
  </si>
  <si>
    <r>
      <rPr>
        <rFont val="Arial"/>
        <color theme="1"/>
      </rPr>
      <t xml:space="preserve">Response provided: </t>
    </r>
    <r>
      <rPr>
        <rFont val="Arial"/>
        <b/>
        <color theme="1"/>
      </rPr>
      <t xml:space="preserve">1
</t>
    </r>
    <r>
      <rPr>
        <rFont val="Arial"/>
        <color theme="1"/>
      </rPr>
      <t xml:space="preserve">No response provided: </t>
    </r>
    <r>
      <rPr>
        <rFont val="Arial"/>
        <b/>
        <color theme="1"/>
      </rPr>
      <t>0</t>
    </r>
  </si>
  <si>
    <t>Water</t>
  </si>
  <si>
    <t>Does the company have a policy on water management?</t>
  </si>
  <si>
    <r>
      <rPr>
        <rFont val="Arial"/>
        <color theme="1"/>
      </rPr>
      <t xml:space="preserve">1. We have a policy document on/covering water management with qualitative objectives </t>
    </r>
    <r>
      <rPr>
        <rFont val="Arial"/>
        <b/>
        <color theme="1"/>
      </rPr>
      <t>and</t>
    </r>
    <r>
      <rPr>
        <rFont val="Arial"/>
        <color theme="1"/>
      </rPr>
      <t xml:space="preserve"> quantitative targets mentioned in the policy or elsewhere
2. We have a policy document on/covering water management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water management across our operations</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</si>
  <si>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</si>
  <si>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has the company taken to reduce its water consumption and water discharge?</t>
  </si>
  <si>
    <t xml:space="preserve">PRINCIPLE 6, Essential Indicators, Question 5
</t>
  </si>
  <si>
    <t>a) We provide training to employees on reduction of water consumption
b) We take actions to reuse and recycle water within our operations
c) We have implemented rainwater harvesting systems
d) We have leak detection and repair programs in place
e) We conduct water risk assessments to identify water stressed regions
f) We take other actions
g) No action taken
h) Do not know</t>
  </si>
  <si>
    <t>a) #Training material
#Training record
b) # Internal Record of ETP/STP/other
c) # Rainwater harvesting system installation record
d) # Internal Record of LDAR program
e) # Water Risk Assessment document
f) # Annual Report
# CSR/Sustainability Report
# Other relevant document</t>
  </si>
  <si>
    <t>Max score: 6 (max score is obtained when all the options except the last two are selected)
No score: 'No actions in place' and 'do not know'</t>
  </si>
  <si>
    <t>Annual water withdrawal</t>
  </si>
  <si>
    <t>KL</t>
  </si>
  <si>
    <t xml:space="preserve">PRINCIPLE 6, Essential Indicators, Question 3
</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</si>
  <si>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</si>
  <si>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Annual water discharge (treated or untreated)</t>
  </si>
  <si>
    <t xml:space="preserve">PRINCIPLE 6, Essential Indicators, Question 4
</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</si>
  <si>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</si>
  <si>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 xml:space="preserve">Quantity of water discharged undergoing primary treatment </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</si>
  <si>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</si>
  <si>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 xml:space="preserve">Quantity of water discharged undergoing secondary treatment </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</si>
  <si>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</si>
  <si>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 xml:space="preserve">Quantity of water discharged undergoing tertiary treatment </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</si>
  <si>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</si>
  <si>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Have you conducted a water assessment study for your operations?</t>
  </si>
  <si>
    <t>1. Yes, conducted through external agency
2. Yes, conducted through internal teams
3. No</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</si>
  <si>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</si>
  <si>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Have you installed rainwater harvesting system at your facility?</t>
  </si>
  <si>
    <t>1. Yes
2. No</t>
  </si>
  <si>
    <r>
      <rPr>
        <rFont val="Arial"/>
        <color theme="1"/>
      </rPr>
      <t xml:space="preserve">Option 1: </t>
    </r>
    <r>
      <rPr>
        <rFont val="Arial"/>
        <b/>
        <color theme="1"/>
      </rPr>
      <t>1</t>
    </r>
    <r>
      <rPr>
        <rFont val="Arial"/>
        <color theme="1"/>
      </rPr>
      <t xml:space="preserve">
Option 2: </t>
    </r>
    <r>
      <rPr>
        <rFont val="Arial"/>
        <b/>
        <color theme="1"/>
      </rPr>
      <t>0</t>
    </r>
  </si>
  <si>
    <t>Have you conducted audit/assurance of water consumption and discharge?</t>
  </si>
  <si>
    <t>PRINCIPLE 6, Essential Indicators, Question 3 &amp; 4 (Note on independent assessment)</t>
  </si>
  <si>
    <r>
      <rPr>
        <rFont val="Arial"/>
        <color theme="1"/>
      </rPr>
      <t xml:space="preserve">Option 1: </t>
    </r>
    <r>
      <rPr>
        <rFont val="Arial"/>
        <b/>
        <color theme="1"/>
      </rPr>
      <t>1</t>
    </r>
    <r>
      <rPr>
        <rFont val="Arial"/>
        <color theme="1"/>
      </rPr>
      <t xml:space="preserve">
Option 2: </t>
    </r>
    <r>
      <rPr>
        <rFont val="Arial"/>
        <b/>
        <color theme="1"/>
      </rPr>
      <t>0</t>
    </r>
  </si>
  <si>
    <t>Do you conduct testing of wastewater before discharge to check the weight of pollutants?</t>
  </si>
  <si>
    <t>PRINCIPLE 6, Essential Indicators, Question 4</t>
  </si>
  <si>
    <r>
      <rPr>
        <rFont val="Arial"/>
        <color theme="1"/>
      </rPr>
      <t xml:space="preserve">Option 1: </t>
    </r>
    <r>
      <rPr>
        <rFont val="Arial"/>
        <b/>
        <color theme="1"/>
      </rPr>
      <t>1</t>
    </r>
    <r>
      <rPr>
        <rFont val="Arial"/>
        <color theme="1"/>
      </rPr>
      <t xml:space="preserve">
Option 2: </t>
    </r>
    <r>
      <rPr>
        <rFont val="Arial"/>
        <b/>
        <color theme="1"/>
      </rPr>
      <t>0</t>
    </r>
  </si>
  <si>
    <t>Waste</t>
  </si>
  <si>
    <t>Does the company have a policy on waste management ?</t>
  </si>
  <si>
    <r>
      <rPr>
        <rFont val="Arial"/>
        <color theme="1"/>
      </rPr>
      <t xml:space="preserve">1. We have a policy document on/covering waste management with qualitative objectives </t>
    </r>
    <r>
      <rPr>
        <rFont val="Arial"/>
        <b/>
        <color theme="1"/>
      </rPr>
      <t>and</t>
    </r>
    <r>
      <rPr>
        <rFont val="Arial"/>
        <color theme="1"/>
      </rPr>
      <t xml:space="preserve"> quantitative targets mentioned in the policy or elsewhere
2. We have a policy document on/covering waste management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waste management across our operations</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</si>
  <si>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</si>
  <si>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has the company taken regarding reduction of wastes and hazardous materials? Please select all that apply</t>
  </si>
  <si>
    <t>PRINCIPLE 6, Essential Indicators, Question 10</t>
  </si>
  <si>
    <t>a) We take actions to reduce material consumption through process optimization
b) We use eco-friendly or bio-based input materials
c) We take actions for labeling, storing, handling, and transporting hazardous substances
d) We provide training to employees to safely handle and manage hazardous substances
e) We take actions to reduce internal wastes through material reuse, recovery or repurpose
f) We provide training to raise employee awareness on waste reduction &amp; sorting
g) We engage in internal sorting and disposal of waste according to waste streams
h) We enage in external partnerships or collection programs established to reuse and recycle major waste streams
i) We take other actions
j) No action taken
k) Do not know</t>
  </si>
  <si>
    <t>a) # Program implementation records
# Sustainability Report
# Annual Report
b) # Project Reports
# Sustainability Report
# Annual Report
c) # Standard operating  procedures
# Work instructions
d) #Training material
#Training record
e) #Sustainability report
f) #Training material
#Training record
g) # Standard operating procedures
# Work instructions
h) #Waste vendor declaration and contract
i) # Annual Report
# CSR/Sustainability Report
# Other relevant document</t>
  </si>
  <si>
    <r>
      <rPr>
        <rFont val="Arial"/>
        <color theme="1"/>
      </rPr>
      <t xml:space="preserve">Max score: </t>
    </r>
    <r>
      <rPr>
        <rFont val="Arial"/>
        <b/>
        <color theme="1"/>
      </rPr>
      <t>9</t>
    </r>
    <r>
      <rPr>
        <rFont val="Arial"/>
        <color theme="1"/>
      </rPr>
      <t xml:space="preserve"> (max score is obtained when all the options except the last two are selected)
No score: 'No actions in place' and 'do not know'
</t>
    </r>
  </si>
  <si>
    <t>Total waste disposed</t>
  </si>
  <si>
    <t>tonnes</t>
  </si>
  <si>
    <t>PRINCIPLE 6, Essential Indicators, Question 9</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</si>
  <si>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</si>
  <si>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Plastic waste disposed</t>
  </si>
  <si>
    <t>PRINCIPLE 6, Essential Indicators, Question 9(A)</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</si>
  <si>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</si>
  <si>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E-Waste disposed</t>
  </si>
  <si>
    <t>PRINCIPLE 6, Essential Indicators, Question 9(B)</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</si>
  <si>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</si>
  <si>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Biomedical waste disposed</t>
  </si>
  <si>
    <t>PRINCIPLE 6, Essential Indicators, Question 9(C)</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</si>
  <si>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</si>
  <si>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Construction &amp; demolition waste disposed</t>
  </si>
  <si>
    <t>PRINCIPLE 6, Essential Indicators, Question 9(D)</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</si>
  <si>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</si>
  <si>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Battery waste disposed</t>
  </si>
  <si>
    <t>PRINCIPLE 6, Essential Indicators, Question 9(E)</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</si>
  <si>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</si>
  <si>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Radioactive waste disposed</t>
  </si>
  <si>
    <t>PRINCIPLE 6, Essential Indicators, Question 9(F)</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</si>
  <si>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</si>
  <si>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Other non-hazardous waste disposed</t>
  </si>
  <si>
    <t>PRINCIPLE 6, Essential Indicators, Question 9(G)</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</si>
  <si>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</si>
  <si>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Quantity of waste sent for recycling</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</si>
  <si>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</si>
  <si>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Quantity of waste reused onsite/offsite</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</si>
  <si>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</si>
  <si>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Quantity of waste sent for incineration (without energy recovery)</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</si>
  <si>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</si>
  <si>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Quantity of waste sent for incineration (with energy recovery)</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</si>
  <si>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</si>
  <si>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Quantity of waste sent to landfill</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</si>
  <si>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</si>
  <si>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Have you conducted audit/assurance of waste disposed during the year?</t>
  </si>
  <si>
    <t>PRINCIPLE 6, Essential Indicators, Question 9 (Note on independent assessment)</t>
  </si>
  <si>
    <r>
      <rPr>
        <rFont val="Arial"/>
        <color theme="1"/>
      </rPr>
      <t xml:space="preserve">Option 1: </t>
    </r>
    <r>
      <rPr>
        <rFont val="Arial"/>
        <b/>
        <color theme="1"/>
      </rPr>
      <t>1</t>
    </r>
    <r>
      <rPr>
        <rFont val="Arial"/>
        <color theme="1"/>
      </rPr>
      <t xml:space="preserve">
Option 2: </t>
    </r>
    <r>
      <rPr>
        <rFont val="Arial"/>
        <b/>
        <color theme="1"/>
      </rPr>
      <t>0</t>
    </r>
  </si>
  <si>
    <t>Do you conduct audit of your waste recyclers/vendors?</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</si>
  <si>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</si>
  <si>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GHG</t>
  </si>
  <si>
    <t>Does the company have a policy on GHG emissions management ?</t>
  </si>
  <si>
    <r>
      <rPr>
        <rFont val="Arial"/>
        <color theme="1"/>
      </rPr>
      <t xml:space="preserve">1. We have a policy document on/covering GHG emissions management with qualitative objectives </t>
    </r>
    <r>
      <rPr>
        <rFont val="Arial"/>
        <b/>
        <color theme="1"/>
      </rPr>
      <t>and</t>
    </r>
    <r>
      <rPr>
        <rFont val="Arial"/>
        <color theme="1"/>
      </rPr>
      <t xml:space="preserve"> quantitative targets mentioned in the policy or elsewhere
2. We have a policy document on/covering GHG emissions management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GHG emissions management across our operations</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</si>
  <si>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</si>
  <si>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has the company taken regarding reduction of GHG emissions? Please select all that apply</t>
  </si>
  <si>
    <t>a) We purchase verified carbon offset credits
b) We engage with suppliers based on their GHG reduction efforts/GHG emission intensity
c) We take actions to reduce emissions from business travel, employee commuting
d) We take actions to reduce emissions from our upstream and downstream transportation
e) We take other actions
f) No action taken
g)Do not know</t>
  </si>
  <si>
    <t>a) #Invoice
#Contractual agreement
#Verification report for offset credits
b) #Supplier recognition award for GHG emission reduction
#Product specification document showing GHG emission intensity of product as requirement for purchase
#Evidence of communication requesting for product LCA from suppliers
c) #Public disclosure of initiative in Sustainability report
d) #Certificate of emissions saved/avoided by third party for using digital tool for logistics optimization
#Public disclosure of initiative in Sustainability report
e) # Annual Report
# CSR/Sustainability Report
# Other relevant document</t>
  </si>
  <si>
    <r>
      <rPr>
        <rFont val="Arial"/>
        <color theme="1"/>
      </rPr>
      <t xml:space="preserve">Max score: </t>
    </r>
    <r>
      <rPr>
        <rFont val="Arial"/>
        <b/>
        <color theme="1"/>
      </rPr>
      <t>4</t>
    </r>
    <r>
      <rPr>
        <rFont val="Arial"/>
        <color theme="1"/>
      </rPr>
      <t xml:space="preserve"> (max score is obtained when all the options except the last two are selected)
No score: 'No actions in place' and 'do not know'
</t>
    </r>
  </si>
  <si>
    <t>Describe your company's GHG emission reduction targets (select all that apply)</t>
  </si>
  <si>
    <t>SECTION B, Question 5 (P6)</t>
  </si>
  <si>
    <t>a) We have an absolute scope 1 reduction target
b) We have an absolute scope 2 reduction target
c) We have an absolute scope 3 reduction target
d) We have an intensity reduction target
e) We have committed to setting science-based targets via SBTi
f) We have science-based targets approved by SBTi
g) We publicly announce our targets
h) No formal targets yet/I don't know</t>
  </si>
  <si>
    <t>a) # Internal target calculation document
#Website screenshot
#Annual or Sustainability report
b) # Internal target calculation document
#Website screenshot
#Annual or Sustainability report
c) # Internal target calculation document
#Website screenshot
#Annual or Sustainability report
d) # Internal target calculation document
#Website screenshot
#Annual or Sustainability report
e) #SBTi Website screenshot
f) #SBTi approval certificate</t>
  </si>
  <si>
    <r>
      <rPr>
        <rFont val="Arial"/>
        <color theme="1"/>
      </rPr>
      <t xml:space="preserve">Max score: </t>
    </r>
    <r>
      <rPr>
        <rFont val="Arial"/>
        <b/>
        <color theme="1"/>
      </rPr>
      <t>7</t>
    </r>
    <r>
      <rPr>
        <rFont val="Arial"/>
        <color theme="1"/>
      </rPr>
      <t xml:space="preserve"> (max score is obtained when all the options except the last two are selected)
No score: 'No actions in place' and 'do not know'
</t>
    </r>
  </si>
  <si>
    <t>Describe your company's GHG reporting practices (select all that apply)</t>
  </si>
  <si>
    <t>a) Our GHG inventory is designed in accordance with GHG protocol or other GHG accounting standards
b) We update our inventory at least once per year
c) Our GHG emissions report is publicly available
d) We screen scope 3 categories to identify the most relevant for our activity
e) We verify our GHG emissions through a third party
f) We review our progress towards achieving GHG reduction targets consistently</t>
  </si>
  <si>
    <t>a) #GHG assurance statement
#Internal GHG emission tracking portal or spreadsheet
b) #Internal GHG emission tracking portal or spreadsheet
#Annual or Sustainability report
c) #Annual or Sustainability report
# Screenshot of website/link to the report
d) #GHG assurance statement
#Internal GHG emission tracking portal or spreadsheet
e) #GHG assurance statement
f) #Internal GHG emission tracking portal or spreadsheet
#Annual or Sustainability report</t>
  </si>
  <si>
    <r>
      <rPr>
        <rFont val="Arial"/>
        <color theme="1"/>
      </rPr>
      <t xml:space="preserve">Max score: </t>
    </r>
    <r>
      <rPr>
        <rFont val="Arial"/>
        <b/>
        <color theme="1"/>
      </rPr>
      <t>6</t>
    </r>
    <r>
      <rPr>
        <rFont val="Arial"/>
        <color theme="1"/>
      </rPr>
      <t xml:space="preserve"> (max score is obtained when all the options except the last two are selected)
No score: 'No actions in place' and 'do not know'
</t>
    </r>
  </si>
  <si>
    <t>Total Scope 1 emissions</t>
  </si>
  <si>
    <t>tonneCO2e</t>
  </si>
  <si>
    <t>PRINCIPLE 6, Essential Indicators, Question 7</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</si>
  <si>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</si>
  <si>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Scope 2 emissions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</si>
  <si>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</si>
  <si>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Scope 3 emissions</t>
  </si>
  <si>
    <t>PRINCIPLE 6, Leadership Indicators, Question 2</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</si>
  <si>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</si>
  <si>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upstream Scope 3 emissions (Covering the following categories as applicable to the company: 
# purchased goods and services
# capital goods
# fuel and energy related activities (not included in scope 1 or 2)
# upstream transportation and distribution
# waste generated in operations
# business travel
# employee commuting
# upstream leased assets)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</si>
  <si>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</si>
  <si>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downstream Scope 3 emissions (Covering the following categories  as applicable to the company:
# downstream transportation and distribution
# processing of sold products
# use of sold products
# end-of-life treatment of sold products
# downstream leased assets
# franchises
# investments)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</si>
  <si>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</si>
  <si>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What method was used to calculate Scope 3 emissions?</t>
  </si>
  <si>
    <t>1. Average data method
2. Spend-based method
3. Supplier specific factors used
4. Hybrid (a combination of two or more methods)</t>
  </si>
  <si>
    <r>
      <rPr>
        <rFont val="Arial"/>
        <color theme="1"/>
      </rPr>
      <t xml:space="preserve">Response provided: </t>
    </r>
    <r>
      <rPr>
        <rFont val="Arial"/>
        <b/>
        <color theme="1"/>
      </rPr>
      <t xml:space="preserve">1
</t>
    </r>
    <r>
      <rPr>
        <rFont val="Arial"/>
        <color theme="1"/>
      </rPr>
      <t xml:space="preserve">No response provided: </t>
    </r>
    <r>
      <rPr>
        <rFont val="Arial"/>
        <b/>
        <color theme="1"/>
      </rPr>
      <t>0</t>
    </r>
  </si>
  <si>
    <t>Air Pollution</t>
  </si>
  <si>
    <t>Does the company have a policy on reducing air pollution and emissions other than GHG?</t>
  </si>
  <si>
    <r>
      <rPr>
        <rFont val="Arial"/>
        <color theme="1"/>
      </rPr>
      <t xml:space="preserve">1. We have a policy document on/covering prevention of air pollution with qualitative objectives </t>
    </r>
    <r>
      <rPr>
        <rFont val="Arial"/>
        <b/>
        <color theme="1"/>
      </rPr>
      <t>and</t>
    </r>
    <r>
      <rPr>
        <rFont val="Arial"/>
        <color theme="1"/>
      </rPr>
      <t xml:space="preserve"> quantitative targets mentioned in the policy or elsewhere
2. We have a policy document on/covering prevention of air pollution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prevention of air pollution across our operations</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</si>
  <si>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</si>
  <si>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has the company taken to reduce air pollution and emissions other than GHG?</t>
  </si>
  <si>
    <t>a) We provide training to employees on prevention of air pollution
b) We have installed air pollution control equipment (e.g. scrubbers, filters, ESPs etc.)
c) We have preventive maintenance plan in place to limit emissions
d) We perform regular monitoring of air emissions (stack emissions monitoring, CEMS etc.)
e) We conduct Environmental Impact Assessments (EIA) or risk assessments periodically
f) We have an Emergency Response Plan in place for accidental hazardous leaks
g) We have reduced air emissions through process optimization and replacement of high-emission processes and/or substances 
h) We take other actions
i) No action in place
j) Do not know</t>
  </si>
  <si>
    <t>a) #Training material
#Training record
b) # Equipment installation record
c) # PMP
# SOP
# Work Instruction
d) # Stack emissions monitoring report
# Third party report
e) # EIA document
# Risk assessment document
f) # Emergency Response Plan
# SOP
# Work Instruction
g) #Internal tracking record
# Program implementation report
# Annual or Sustainability Report
h) # Annual Report
# CSR/Sustainability Report
# Other relevant document</t>
  </si>
  <si>
    <r>
      <rPr>
        <rFont val="Arial"/>
        <color theme="1"/>
      </rPr>
      <t xml:space="preserve">Max score: </t>
    </r>
    <r>
      <rPr>
        <rFont val="Arial"/>
        <b/>
        <color theme="1"/>
      </rPr>
      <t>8</t>
    </r>
    <r>
      <rPr>
        <rFont val="Arial"/>
        <color theme="1"/>
      </rPr>
      <t xml:space="preserve"> (max score is obtained when all the options except the last two are selected)
No score: 'No actions in place' and 'do not know'</t>
    </r>
  </si>
  <si>
    <t>Total SOx emissions</t>
  </si>
  <si>
    <t>mg/Nm3 or ppm</t>
  </si>
  <si>
    <t>PRINCIPLE 6, Essential Indicators, Question 6</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</si>
  <si>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</si>
  <si>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NOx emissions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</si>
  <si>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</si>
  <si>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PM emissions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</si>
  <si>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</si>
  <si>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Do you conduct audit of your air emissions other than GHG?</t>
  </si>
  <si>
    <t>PRINCIPLE 6, Essential Indicators, Question 6 (Note on independent assessment)</t>
  </si>
  <si>
    <r>
      <rPr>
        <rFont val="Arial"/>
        <color theme="1"/>
      </rPr>
      <t xml:space="preserve">Option 1: </t>
    </r>
    <r>
      <rPr>
        <rFont val="Arial"/>
        <b/>
        <color theme="1"/>
      </rPr>
      <t>1</t>
    </r>
    <r>
      <rPr>
        <rFont val="Arial"/>
        <color theme="1"/>
      </rPr>
      <t xml:space="preserve">
Option 2: </t>
    </r>
    <r>
      <rPr>
        <rFont val="Arial"/>
        <b/>
        <color theme="1"/>
      </rPr>
      <t>0</t>
    </r>
  </si>
  <si>
    <t>Weightage=40%</t>
  </si>
  <si>
    <t>Overall weightage</t>
  </si>
  <si>
    <t>SUM of Max score</t>
  </si>
  <si>
    <t>SUM of Count</t>
  </si>
  <si>
    <t>Weightage=35%</t>
  </si>
  <si>
    <t>Assessment Attribute</t>
  </si>
  <si>
    <t>SUM of Max Score</t>
  </si>
  <si>
    <t>Strategic and linked to the previous question</t>
  </si>
  <si>
    <t>Weightage=25%</t>
  </si>
  <si>
    <t>Perfomance</t>
  </si>
  <si>
    <t>ESG score</t>
  </si>
  <si>
    <t>ESG profile</t>
  </si>
  <si>
    <t>Calculated ESG score = [(40% of Environment score + 35% of Social score + 25% of Governance score) / (40% of 130 + 35% of 148 + 25% of 79)]*100</t>
  </si>
  <si>
    <t>0-24.99999%</t>
  </si>
  <si>
    <t>Foundational</t>
  </si>
  <si>
    <t>25-49.9999%</t>
  </si>
  <si>
    <t>Developing</t>
  </si>
  <si>
    <t>50-74.9999%</t>
  </si>
  <si>
    <t>Established</t>
  </si>
  <si>
    <t>75-100%</t>
  </si>
  <si>
    <t>Advanced</t>
  </si>
  <si>
    <t>BRSR Question</t>
  </si>
  <si>
    <t>Remarks</t>
  </si>
  <si>
    <t>Scoring Scheme</t>
  </si>
  <si>
    <t>Max Score</t>
  </si>
  <si>
    <t>Min Score</t>
  </si>
  <si>
    <t>Supporting Document 2</t>
  </si>
  <si>
    <t>Employee Health and Safety</t>
  </si>
  <si>
    <t>Does the company have a policy on Employee Health and Safety?</t>
  </si>
  <si>
    <t>BRSR/Ecovadis</t>
  </si>
  <si>
    <t>SECTION B, Question 1 (P3)</t>
  </si>
  <si>
    <r>
      <rPr>
        <rFont val="Arial"/>
        <color theme="1"/>
      </rPr>
      <t xml:space="preserve">1. We have a policy document on/covering Employee Health and Safety with qualitative objectives </t>
    </r>
    <r>
      <rPr>
        <rFont val="Arial"/>
        <b/>
        <color theme="1"/>
      </rPr>
      <t>and</t>
    </r>
    <r>
      <rPr>
        <rFont val="Arial"/>
        <color theme="1"/>
      </rPr>
      <t xml:space="preserve"> quantitative targets mentioned in the policy or elsewhere
2. We have a policy document on/covering Employee Health and Safety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Employee Health and Safety
</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</si>
  <si>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</si>
  <si>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are in place regarding employee health and safety? Please select all that apply.</t>
  </si>
  <si>
    <t>PRINCIPLE 3, Essential Indicators, Question 10</t>
  </si>
  <si>
    <t>-We conduct Employee Health and Safety Risk Assessment
-We have Health and Safety emergency action plan in place
-We provide training to employees and workers on health and safety risks and good working practices
-We provide regular health check-up benefits to employees and workers
-We take preventive actions for repetitive strain injury(RSI)
-We take other actions to ensure employee health and safety (Please specify)
-No action in place
-Do not know</t>
  </si>
  <si>
    <r>
      <rPr>
        <rFont val="Arial"/>
        <color theme="1"/>
      </rPr>
      <t xml:space="preserve">Max score: </t>
    </r>
    <r>
      <rPr>
        <rFont val="Arial"/>
        <b/>
        <color theme="1"/>
      </rPr>
      <t>6</t>
    </r>
    <r>
      <rPr>
        <rFont val="Arial"/>
        <color theme="1"/>
      </rPr>
      <t xml:space="preserve"> (max score is obtained when all the options except the last two are selected)
No score: 'No actions in place' and 'do not know'
</t>
    </r>
  </si>
  <si>
    <t>Total number of lost time injuries occurring during the year</t>
  </si>
  <si>
    <t>Number</t>
  </si>
  <si>
    <t>PRINCIPLE 3, Essential Indicators, Question 11</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</si>
  <si>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</si>
  <si>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number of working hours during the year</t>
  </si>
  <si>
    <t>Number of hours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</si>
  <si>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</si>
  <si>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number of fatalities during the year</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</si>
  <si>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</si>
  <si>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number of permanent disabilities (high consequency injuries) during the year</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</si>
  <si>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</si>
  <si>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Employee Welfare</t>
  </si>
  <si>
    <t>Does the company have a policy on Working Conditions?</t>
  </si>
  <si>
    <r>
      <rPr>
        <rFont val="Arial"/>
        <color theme="1"/>
      </rPr>
      <t xml:space="preserve">1. We have a policy document on/covering Working Conditions with qualitative objectives </t>
    </r>
    <r>
      <rPr>
        <rFont val="Arial"/>
        <b/>
        <color theme="1"/>
      </rPr>
      <t>and</t>
    </r>
    <r>
      <rPr>
        <rFont val="Arial"/>
        <color theme="1"/>
      </rPr>
      <t xml:space="preserve"> quantitative targets mentioned in the policy or elsewhere
2. We have a policy document on/covering Working Conditions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Working Conditions
</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</si>
  <si>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</si>
  <si>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are in place regarding working conditions? Please select all that apply.</t>
  </si>
  <si>
    <t>PRINCIPLE 3, Essential Indicators, Question 15</t>
  </si>
  <si>
    <t>-We provide compensation for extra or atypical working hours
-We have implemented Family Friendly programs (FFPs) (e.g. parental or care leaves, childcare services or allowances)
-We provide Flexible organization of work (eg. remote work, flexi-time)
-We provide Health care coverage to employees
-We conduct Employee satisfaction survey
-Bonus scheme related to company performance is in place
-We take other actions to ensure good working conditions (Please specify)
-No action in place
-Do not know</t>
  </si>
  <si>
    <r>
      <rPr>
        <rFont val="Arial"/>
        <color theme="1"/>
      </rPr>
      <t xml:space="preserve">Max score: </t>
    </r>
    <r>
      <rPr>
        <rFont val="Arial"/>
        <b/>
        <color theme="1"/>
      </rPr>
      <t>7</t>
    </r>
    <r>
      <rPr>
        <rFont val="Arial"/>
        <color theme="1"/>
      </rPr>
      <t xml:space="preserve"> (max score is obtained when all the options except the last two are selected)
No score: 'No actions in place' and 'do not know'
</t>
    </r>
  </si>
  <si>
    <t>Do you provide health insurance benefits to your employees?</t>
  </si>
  <si>
    <t>PRINCIPLE 3, Essential Indicators, Question 1(a)</t>
  </si>
  <si>
    <t>1. Yes, to 100% of our employees
2. Yes, to less than 100% of our employees
3. No</t>
  </si>
  <si>
    <t># Internal Record
# Annual/Sustainability Report
# Report provided by third party</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</si>
  <si>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</si>
  <si>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 you provide accident insurance benefits to your employees?</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</si>
  <si>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</si>
  <si>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 you provide maternity benefits to your employees?</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</si>
  <si>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</si>
  <si>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 you provide paternity benefits to your employees?</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</si>
  <si>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</si>
  <si>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Total cost incurred on providing the primary well-being measures for the current financial year (in INR)</t>
  </si>
  <si>
    <t>INR</t>
  </si>
  <si>
    <t>PRINCIPLE 3, Essential Indicators, Question 1(c)</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</si>
  <si>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</si>
  <si>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Do you provide paid time-off to your employees?</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</si>
  <si>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</si>
  <si>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 you allow flexible working hours to your employees?</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</si>
  <si>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</si>
  <si>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 you provide retirement benefits to your employees?</t>
  </si>
  <si>
    <t>PRINCIPLE 3, Essential Indicators, Question 2</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</si>
  <si>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</si>
  <si>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 you provide gym membership to your employees?</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</si>
  <si>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</si>
  <si>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 you provide pet friendly workspace for your employees?</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</si>
  <si>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</si>
  <si>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Social Dialogue</t>
  </si>
  <si>
    <t>Does the company have a policy on social dialogue?</t>
  </si>
  <si>
    <r>
      <rPr>
        <rFont val="Arial"/>
        <color theme="1"/>
      </rPr>
      <t xml:space="preserve">1. We have a policy document on/covering Social Dialogue with qualitative objectives </t>
    </r>
    <r>
      <rPr>
        <rFont val="Arial"/>
        <b/>
        <color theme="1"/>
      </rPr>
      <t>and</t>
    </r>
    <r>
      <rPr>
        <rFont val="Arial"/>
        <color theme="1"/>
      </rPr>
      <t xml:space="preserve"> quantitative targets mentioned in the policy or elsewhere
2. We have a policy document on/covering Social Dialogue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Social Dialogue
</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</si>
  <si>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</si>
  <si>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Employee Training and Development</t>
  </si>
  <si>
    <t>Does the company have a policy on career management and training?</t>
  </si>
  <si>
    <r>
      <rPr>
        <rFont val="Arial"/>
        <color theme="1"/>
      </rPr>
      <t xml:space="preserve">1. We have a policy document on/covering career management </t>
    </r>
    <r>
      <rPr>
        <rFont val="Arial"/>
        <b/>
        <color theme="1"/>
      </rPr>
      <t>and</t>
    </r>
    <r>
      <rPr>
        <rFont val="Arial"/>
        <color theme="1"/>
      </rPr>
      <t xml:space="preserve"> training with qualitative objectives and quantitative targets mentioned in the policy or elsewhere
2. We have a policy document on/covering career management and training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career management and training
</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</si>
  <si>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</si>
  <si>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are in place regarding career management &amp; training? Please select all that apply.</t>
  </si>
  <si>
    <t>PRINCIPLE 3, Essential Indicators, Question 8</t>
  </si>
  <si>
    <t>-We provide skill development training
-We perform regular assessment of inividual performance
-We conduct formal discussions with employees on their career development
-We take actions to promote internal mobility
-We take other actions to promote career management and training (Please specify)
-No action in place
-Do not know</t>
  </si>
  <si>
    <r>
      <rPr>
        <rFont val="Arial"/>
        <color theme="1"/>
      </rPr>
      <t xml:space="preserve">Max score: </t>
    </r>
    <r>
      <rPr>
        <rFont val="Arial"/>
        <b/>
        <color theme="1"/>
      </rPr>
      <t>5</t>
    </r>
    <r>
      <rPr>
        <rFont val="Arial"/>
        <color theme="1"/>
      </rPr>
      <t xml:space="preserve"> (max score is obtained when all the options except the last two are selected)
No score: 'No actions in place' and 'do not know'
</t>
    </r>
  </si>
  <si>
    <t>Human Rights</t>
  </si>
  <si>
    <t>Does the company have a policy on child labour, forced labour and human trafficking?</t>
  </si>
  <si>
    <t>SECTION B, Question 1 (P5)</t>
  </si>
  <si>
    <r>
      <rPr>
        <rFont val="Arial"/>
        <color theme="1"/>
      </rPr>
      <t xml:space="preserve">1. We have a policy document on/covering child labour, forced labour and human trafficking with qualitative objectives </t>
    </r>
    <r>
      <rPr>
        <rFont val="Arial"/>
        <b/>
        <color theme="1"/>
      </rPr>
      <t>and</t>
    </r>
    <r>
      <rPr>
        <rFont val="Arial"/>
        <color theme="1"/>
      </rPr>
      <t xml:space="preserve"> quantitative targets mentioned in the policy or elsewhere
2. We have a policy document on/covering child labour, forced labour and human trafficking with qualitative objectives </t>
    </r>
    <r>
      <rPr>
        <rFont val="Arial"/>
        <b/>
        <color theme="1"/>
      </rPr>
      <t>but</t>
    </r>
    <r>
      <rPr>
        <rFont val="Arial"/>
        <color theme="1"/>
      </rPr>
      <t xml:space="preserve"> no quantitative targets mentioned in the policy or elsewhere
3.We have </t>
    </r>
    <r>
      <rPr>
        <rFont val="Arial"/>
        <b/>
        <color theme="1"/>
      </rPr>
      <t>no</t>
    </r>
    <r>
      <rPr>
        <rFont val="Arial"/>
        <color theme="1"/>
      </rPr>
      <t xml:space="preserve"> policy document that covers child labour, forced labour and human trafficking
</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</si>
  <si>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</si>
  <si>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are in place to prevent child labor, forced labor and human trafficking? Please select all that apply.</t>
  </si>
  <si>
    <t>PRINCIPLE 5, Essential Indicators, Question 10</t>
  </si>
  <si>
    <t>-We perform risk assessments to identify operations exposed to potential child labour, forced labour and human trafficking
-We provide awareness training on child labour, forced labour and human trafficking
-We have an age verification procedure of candidates in place
-We take actions to protect young workers (age between 14-18 years)
-We monitor internal controls and effectiveness of actions taken to prevent child labour, forced labour and human trafficking internally or via third party
-We a grievance redressal mechanism in place on child labour, forced labour and human trafficking
-We have a remediation procedure in place for identified victims of child labour, forced labour and human trafficking
-We take other actions to prevent child labour, forced labour and human trafficking
-No actions in place
-Do not know</t>
  </si>
  <si>
    <r>
      <rPr>
        <rFont val="Arial"/>
        <color theme="1"/>
      </rPr>
      <t xml:space="preserve">Max score: </t>
    </r>
    <r>
      <rPr>
        <rFont val="Arial"/>
        <b/>
        <color theme="1"/>
      </rPr>
      <t>10</t>
    </r>
    <r>
      <rPr>
        <rFont val="Arial"/>
        <color theme="1"/>
      </rPr>
      <t xml:space="preserve"> (max score is obtained when all the options except the last two are selected)
No score: 'No actions in place' and 'do not know'
</t>
    </r>
  </si>
  <si>
    <t>Does the company have a policy on external stakeholder human rights?</t>
  </si>
  <si>
    <t>SECTION B, Question 1 &amp; 3 (P5)</t>
  </si>
  <si>
    <r>
      <rPr>
        <rFont val="Arial"/>
        <color theme="1"/>
      </rPr>
      <t xml:space="preserve">1. We have a policy document on/covering external stakeholder human rights with qualitative objectives </t>
    </r>
    <r>
      <rPr>
        <rFont val="Arial"/>
        <b/>
        <color theme="1"/>
      </rPr>
      <t>and</t>
    </r>
    <r>
      <rPr>
        <rFont val="Arial"/>
        <color theme="1"/>
      </rPr>
      <t xml:space="preserve"> quantitative targets mentioned in the policy or elsewhere
2. We have a policy document on/covering external stakeholder human rights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external stakeholder human rights
</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</si>
  <si>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</si>
  <si>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Diversity and Equal Opportunity</t>
  </si>
  <si>
    <t>What actions are in place regarding diversity, equity &amp; inclusion? Please select all that apply.</t>
  </si>
  <si>
    <t>SECTION A, Question 21 &amp; PRINCIPLE 3, Question 4</t>
  </si>
  <si>
    <t>-We take actions to prevent discrimination during the recruitment phase
-We take actions to prevent discrimination durinf professional development and promotion process
-We provide awareness training on diversity, equity and/or harassment issues
-We take actions to prevent workplace harassment
-We take actions to promote the inclusion of employees with disabilities
-We take actions to wage equality in workplace
-We take actions to promote the inclusion of minority or vulnerable groups in the workplace
-We have a grievance mechanism on discrimination and harassment in place
-We have a remediation procedure for victims of discrimination and harassment in place
-We take other actions to promote diversity, equity, and inclusion (Please specify)
-No action in place
-Do not know</t>
  </si>
  <si>
    <r>
      <rPr>
        <rFont val="Arial"/>
        <color theme="1"/>
      </rPr>
      <t xml:space="preserve">Max score: </t>
    </r>
    <r>
      <rPr>
        <rFont val="Arial"/>
        <b/>
        <color theme="1"/>
      </rPr>
      <t>10</t>
    </r>
    <r>
      <rPr>
        <rFont val="Arial"/>
        <color theme="1"/>
      </rPr>
      <t xml:space="preserve"> (max score is obtained when all the options except the last two are selected)
No score: 'No actions in place' and 'do not know'
</t>
    </r>
  </si>
  <si>
    <t>Sum of wages paid to permanent employees</t>
  </si>
  <si>
    <t>PRINCIPLE 5, Essential Indicators, Question 2</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</si>
  <si>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</si>
  <si>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Sum of wages paid to non-permanent employees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</si>
  <si>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</si>
  <si>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Sum of wages paid to permanent workers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</si>
  <si>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</si>
  <si>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Sum of wages paid to non-permanent workers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</si>
  <si>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</si>
  <si>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Sum of wages paid to permanent female employees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</si>
  <si>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</si>
  <si>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Sum of wages paid to non-permanent female employees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</si>
  <si>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</si>
  <si>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Sum of wages paid to permanent female workers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</si>
  <si>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</si>
  <si>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Have you conducted audit/assurance of gross wages paid to employees and workers?</t>
  </si>
  <si>
    <t>1. Yes, by external agency
2. No</t>
  </si>
  <si>
    <r>
      <rPr>
        <rFont val="Arial"/>
        <color theme="1"/>
      </rPr>
      <t xml:space="preserve">Option 1: </t>
    </r>
    <r>
      <rPr>
        <rFont val="Arial"/>
        <b/>
        <color theme="1"/>
      </rPr>
      <t>1</t>
    </r>
    <r>
      <rPr>
        <rFont val="Arial"/>
        <color theme="1"/>
      </rPr>
      <t xml:space="preserve">
Option 2: </t>
    </r>
    <r>
      <rPr>
        <rFont val="Arial"/>
        <b/>
        <color theme="1"/>
      </rPr>
      <t>0</t>
    </r>
  </si>
  <si>
    <t>Mention the name of the auditor/assurance provider.</t>
  </si>
  <si>
    <t>No score assigned</t>
  </si>
  <si>
    <t>Number of POSH complaints received during the year</t>
  </si>
  <si>
    <t>PRINCIPLE 5, Essential Indicators, Question 7</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</si>
  <si>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</si>
  <si>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Number of POSH complaints upheld during the year</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</si>
  <si>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</si>
  <si>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Does the company have a policy on diversity, equity and inclusion?</t>
  </si>
  <si>
    <t>SECTION B, Question 1 (P3 &amp; P5)</t>
  </si>
  <si>
    <r>
      <rPr>
        <rFont val="Arial"/>
        <color theme="1"/>
      </rPr>
      <t xml:space="preserve">1. We have a policy document on/covering diversity, equity and inclusion with qualitative objectives </t>
    </r>
    <r>
      <rPr>
        <rFont val="Arial"/>
        <b/>
        <color theme="1"/>
      </rPr>
      <t>and</t>
    </r>
    <r>
      <rPr>
        <rFont val="Arial"/>
        <color theme="1"/>
      </rPr>
      <t xml:space="preserve"> quantitative targets mentioned in the policy or elsewhere
2. We have a policy document on/covering diversity, equity and inclusion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diversity, equity and inclusion
</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</si>
  <si>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</si>
  <si>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Inclusive Development</t>
  </si>
  <si>
    <t>Total sum of wages paid to employees employed in 'Rural' towns (Population: Upto 10,000)</t>
  </si>
  <si>
    <t>PRINCIPLE 8, Essential Indicators, Question 5</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</si>
  <si>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</si>
  <si>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sum of wages paid to employees employed in 'Semi-urban' towns (Population: 10,000 - 1,00,000)</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</si>
  <si>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</si>
  <si>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sum of wages paid to employees employed in 'Urban' towns (Population: 1,00,000 - 10,00,000)</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</si>
  <si>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</si>
  <si>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sum of wages paid to employees employed in 'Metropolitan' towns (Population: Over 10,00,000)</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</si>
  <si>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</si>
  <si>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sum of wages paid to workers employed in 'Rural' towns (Population: Upto 10,000)</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</si>
  <si>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</si>
  <si>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sum of wages paid to workers employed in 'Semi-urban' towns (Population: 10,000 - 1,00,000)</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</si>
  <si>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</si>
  <si>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sum of wages paid to workers employed in 'Urban' towns (Population: 1,00,000 - 10,00,000)</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</si>
  <si>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</si>
  <si>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sum of wages paid to workers employed in 'Metropolitan' towns (Population: Over 10,00,000)</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</si>
  <si>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</si>
  <si>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Sustainable Procurement</t>
  </si>
  <si>
    <t>Does the company have a policy for Sustainable Procurement on environmental issues?</t>
  </si>
  <si>
    <r>
      <rPr>
        <rFont val="Arial"/>
        <color theme="1"/>
      </rPr>
      <t xml:space="preserve">1. We have a policy document for/covering Sustainable Procurement on environmental issues with qualitative objectives </t>
    </r>
    <r>
      <rPr>
        <rFont val="Arial"/>
        <b/>
        <color theme="1"/>
      </rPr>
      <t>and</t>
    </r>
    <r>
      <rPr>
        <rFont val="Arial"/>
        <color theme="1"/>
      </rPr>
      <t xml:space="preserve"> quantitative targets mentioned in the policy or elsewhere
2. We have a policy document for/covering Sustainable Procurement on environmental issues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Sustainable Procurement on environmental issues
</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</si>
  <si>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</si>
  <si>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Does the company have a policy for Sustainable Procurement on labour practices and human rights?</t>
  </si>
  <si>
    <r>
      <rPr>
        <rFont val="Arial"/>
        <color theme="1"/>
      </rPr>
      <t xml:space="preserve">1. We have a policy document for/covering Sustainable Procurement on labour practices and human rights  with qualitative objectives </t>
    </r>
    <r>
      <rPr>
        <rFont val="Arial"/>
        <b/>
        <color theme="1"/>
      </rPr>
      <t>and</t>
    </r>
    <r>
      <rPr>
        <rFont val="Arial"/>
        <color theme="1"/>
      </rPr>
      <t xml:space="preserve"> quantitative targets mentioned in the policy or elsewhere
2. We have a policy document for/covering Sustainable Procurement on labour practices and human rights with qualitative objectives </t>
    </r>
    <r>
      <rPr>
        <rFont val="Arial"/>
        <b/>
        <color theme="1"/>
      </rPr>
      <t>but</t>
    </r>
    <r>
      <rPr>
        <rFont val="Arial"/>
        <color theme="1"/>
      </rPr>
      <t xml:space="preserve"> no quantitative targets mentioned in the policy or elsewhere
3. We have </t>
    </r>
    <r>
      <rPr>
        <rFont val="Arial"/>
        <b/>
        <color theme="1"/>
      </rPr>
      <t>no</t>
    </r>
    <r>
      <rPr>
        <rFont val="Arial"/>
        <color theme="1"/>
      </rPr>
      <t xml:space="preserve"> policy document that covers Sustainable Procurement on labour practices and human rights
</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</si>
  <si>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</si>
  <si>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are in place regarding the integration of social or environmental factors within procurement? Please select all that apply.</t>
  </si>
  <si>
    <t>PRINCIPLE 2, Leadership Indicators, Question 2(a)</t>
  </si>
  <si>
    <t>-We have a Supplier Sustainability Code of Conduct in place
-We have integrated social and/or environmental clauses into supplier contracts
-We perform sustainability risk analysis prior to supplier assessments or audits
-We conduct supplier assessment on environmental and/or social practices
-We provide training to buyers on social and environmental issues within the supply chain
-We conduct online audits of suppliers on environmental and/or social issues
-Sustainable procurement objectives are integrated into buyer's performance reviews
-We take actions to build capacity and/or incentivize suppliers on sustainability management
-We take other actions to promote sustainable procurement (Please specify)
-No action in place
-Do not know</t>
  </si>
  <si>
    <r>
      <rPr>
        <rFont val="Arial"/>
        <color theme="1"/>
      </rPr>
      <t xml:space="preserve">Max score: </t>
    </r>
    <r>
      <rPr>
        <rFont val="Arial"/>
        <b/>
        <color theme="1"/>
      </rPr>
      <t>9</t>
    </r>
    <r>
      <rPr>
        <rFont val="Arial"/>
        <color theme="1"/>
      </rPr>
      <t xml:space="preserve"> (max score is obtained when all the options except the last two are selected)
No score: 'No actions in place' and 'do not know'
</t>
    </r>
  </si>
  <si>
    <t>Does the company have a supplier diversity program in place or other actions designed to advance diversity in the supply chain? Please select all that apply.</t>
  </si>
  <si>
    <t>PRINCIPLE 8, Leadership Indicators, Question 3(a)</t>
  </si>
  <si>
    <t>-We take actions to work with women-owned businesses in the supply chain
-We take actions to work with businesses owned by minorities/vulnerable groups in the supply chain
-We take actions to advance diversity, equity and inclusion in the workforce of suppliers
-We take other actions to advance diversity in the supply chain
-No action in place
-Do not know</t>
  </si>
  <si>
    <r>
      <rPr>
        <rFont val="Arial"/>
        <color theme="1"/>
      </rPr>
      <t xml:space="preserve">Max score: </t>
    </r>
    <r>
      <rPr>
        <rFont val="Arial"/>
        <b/>
        <color theme="1"/>
      </rPr>
      <t>4</t>
    </r>
    <r>
      <rPr>
        <rFont val="Arial"/>
        <color theme="1"/>
      </rPr>
      <t xml:space="preserve"> (max score is obtained when all the options except the last two are selected)
No score: 'No actions in place' and 'do not know'
</t>
    </r>
  </si>
  <si>
    <t xml:space="preserve">Directly sourced from MSMEs - Total cost of procurement/purchases (raw material, spares, services, capex procurement etc.) by value </t>
  </si>
  <si>
    <t>PRINCIPLE 8, Essential Indicators, Question 4</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</si>
  <si>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</si>
  <si>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 xml:space="preserve">Directly sourced from within India - Total cost of procurement/purchases (raw material, spares, services, capex procurement etc.) by value </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</si>
  <si>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</si>
  <si>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Percentage of targeted suppliers who have signed the supplier code of conduct</t>
  </si>
  <si>
    <t>Number in percentage</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</si>
  <si>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</si>
  <si>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Percentage of targeted suppliers with contracts that include clauses on environmental, labor, and human rights requirements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</si>
  <si>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</si>
  <si>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Percentage or number of targeted suppliers covered by a CSR assessment</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</si>
  <si>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</si>
  <si>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Percentage or number of targeted suppliers covered by a CSR on-site audit</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</si>
  <si>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</si>
  <si>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Percentage or number of all buyers who received training on sustainable procurement</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</si>
  <si>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</si>
  <si>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Percentage or number of audited or assessed suppliers engaged in corrective actions or capacity building</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</si>
  <si>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</si>
  <si>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Question ID</t>
  </si>
  <si>
    <t>Scoring scheme</t>
  </si>
  <si>
    <t>Does the company have a policy on bribery?</t>
  </si>
  <si>
    <r>
      <rPr>
        <rFont val="Arial"/>
        <color theme="1"/>
      </rPr>
      <t xml:space="preserve">-We have a policy document on/covering bribery with qualitative objectives </t>
    </r>
    <r>
      <rPr>
        <rFont val="Arial"/>
        <b/>
        <color theme="1"/>
      </rPr>
      <t>and</t>
    </r>
    <r>
      <rPr>
        <rFont val="Arial"/>
        <color theme="1"/>
      </rPr>
      <t xml:space="preserve"> quantitatives targets mentioned in the policy or elsewhere
-We have a policy document on/covering bribery with qualitative objectives </t>
    </r>
    <r>
      <rPr>
        <rFont val="Arial"/>
        <b/>
        <color theme="1"/>
      </rPr>
      <t xml:space="preserve">but no </t>
    </r>
    <r>
      <rPr>
        <rFont val="Arial"/>
        <color theme="1"/>
      </rPr>
      <t xml:space="preserve">quantitatives targets mentioned in the policy or elsewhere
-We </t>
    </r>
    <r>
      <rPr>
        <rFont val="Arial"/>
        <b/>
        <color theme="1"/>
      </rPr>
      <t>have no</t>
    </r>
    <r>
      <rPr>
        <rFont val="Arial"/>
        <color theme="1"/>
      </rPr>
      <t xml:space="preserve"> a policy document covering bribery</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</si>
  <si>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</si>
  <si>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Does the company have a policy on conflict of interest?</t>
  </si>
  <si>
    <r>
      <rPr>
        <rFont val="Arial"/>
        <color theme="1"/>
      </rPr>
      <t xml:space="preserve">-We have a policy document on/covering conflict of interest with qualitative objectives </t>
    </r>
    <r>
      <rPr>
        <rFont val="Arial"/>
        <b/>
        <color theme="1"/>
      </rPr>
      <t>and</t>
    </r>
    <r>
      <rPr>
        <rFont val="Arial"/>
        <color theme="1"/>
      </rPr>
      <t xml:space="preserve"> quantitatives targets mentioned in the policy or elsewhere
-We have a policy document on/covering conflict of interest with qualitative objectives </t>
    </r>
    <r>
      <rPr>
        <rFont val="Arial"/>
        <b/>
        <color theme="1"/>
      </rPr>
      <t xml:space="preserve">but no </t>
    </r>
    <r>
      <rPr>
        <rFont val="Arial"/>
        <color theme="1"/>
      </rPr>
      <t xml:space="preserve">quantitatives targets mentioned in the policy or elsewhere
-We </t>
    </r>
    <r>
      <rPr>
        <rFont val="Arial"/>
        <b/>
        <color theme="1"/>
      </rPr>
      <t>have no</t>
    </r>
    <r>
      <rPr>
        <rFont val="Arial"/>
        <color theme="1"/>
      </rPr>
      <t xml:space="preserve"> a policy document covering conflict of interest</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</si>
  <si>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</si>
  <si>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Does the company have a policy on fraud?</t>
  </si>
  <si>
    <r>
      <rPr>
        <rFont val="Arial"/>
        <color theme="1"/>
      </rPr>
      <t xml:space="preserve">-We have a policy document on/covering fraud with qualitative objectives </t>
    </r>
    <r>
      <rPr>
        <rFont val="Arial"/>
        <b/>
        <color theme="1"/>
      </rPr>
      <t>and</t>
    </r>
    <r>
      <rPr>
        <rFont val="Arial"/>
        <color theme="1"/>
      </rPr>
      <t xml:space="preserve"> quantitatives targets mentioned in the policy or elsewhere
-We have a policy document on/covering fraud with qualitative objectives </t>
    </r>
    <r>
      <rPr>
        <rFont val="Arial"/>
        <b/>
        <color theme="1"/>
      </rPr>
      <t xml:space="preserve">but no </t>
    </r>
    <r>
      <rPr>
        <rFont val="Arial"/>
        <color theme="1"/>
      </rPr>
      <t xml:space="preserve">quantitatives targets mentioned in the policy or elsewhere
-We </t>
    </r>
    <r>
      <rPr>
        <rFont val="Arial"/>
        <b/>
        <color theme="1"/>
      </rPr>
      <t>have no</t>
    </r>
    <r>
      <rPr>
        <rFont val="Arial"/>
        <color theme="1"/>
      </rPr>
      <t xml:space="preserve"> a policy document covering fraud</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</si>
  <si>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</si>
  <si>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Does the company have a policy on money laundering?</t>
  </si>
  <si>
    <r>
      <rPr>
        <rFont val="Arial"/>
        <color theme="1"/>
      </rPr>
      <t xml:space="preserve">-We have a policy document on/covering money laundering with qualitative objectives </t>
    </r>
    <r>
      <rPr>
        <rFont val="Arial"/>
        <b/>
        <color theme="1"/>
      </rPr>
      <t>and</t>
    </r>
    <r>
      <rPr>
        <rFont val="Arial"/>
        <color theme="1"/>
      </rPr>
      <t xml:space="preserve"> quantitatives targets mentioned in the policy or elsewhere
-We have a policy document on/covering money laundering with qualitative objectives </t>
    </r>
    <r>
      <rPr>
        <rFont val="Arial"/>
        <b/>
        <color theme="1"/>
      </rPr>
      <t xml:space="preserve">but no </t>
    </r>
    <r>
      <rPr>
        <rFont val="Arial"/>
        <color theme="1"/>
      </rPr>
      <t xml:space="preserve">quantitatives targets mentioned in the policy or elsewhere
-We </t>
    </r>
    <r>
      <rPr>
        <rFont val="Arial"/>
        <b/>
        <color theme="1"/>
      </rPr>
      <t>have no</t>
    </r>
    <r>
      <rPr>
        <rFont val="Arial"/>
        <color theme="1"/>
      </rPr>
      <t xml:space="preserve"> a policy document covering money laundering</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</si>
  <si>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</si>
  <si>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Does the company have a policy on information security?</t>
  </si>
  <si>
    <r>
      <rPr>
        <rFont val="Arial"/>
        <color theme="1"/>
      </rPr>
      <t xml:space="preserve">-We have a policy document on/covering information security with qualitative objectives </t>
    </r>
    <r>
      <rPr>
        <rFont val="Arial"/>
        <b/>
        <color theme="1"/>
      </rPr>
      <t>and</t>
    </r>
    <r>
      <rPr>
        <rFont val="Arial"/>
        <color theme="1"/>
      </rPr>
      <t xml:space="preserve"> quantitatives targets mentioned in the policy or elsewhere
-We have a policy document on/covering information security with qualitative objectives </t>
    </r>
    <r>
      <rPr>
        <rFont val="Arial"/>
        <b/>
        <color theme="1"/>
      </rPr>
      <t xml:space="preserve">but no </t>
    </r>
    <r>
      <rPr>
        <rFont val="Arial"/>
        <color theme="1"/>
      </rPr>
      <t xml:space="preserve">quantitatives targets mentioned in the policy or elsewhere
-We </t>
    </r>
    <r>
      <rPr>
        <rFont val="Arial"/>
        <b/>
        <color theme="1"/>
      </rPr>
      <t>have no</t>
    </r>
    <r>
      <rPr>
        <rFont val="Arial"/>
        <color theme="1"/>
      </rPr>
      <t xml:space="preserve"> a policy document covering information security</t>
    </r>
  </si>
  <si>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</si>
  <si>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What actions are in place to prevent corruption and bribery?</t>
  </si>
  <si>
    <t>-We provide awareness training to prevent corruption and bribery
-We have a whistleblower procedure in place to report corruption and bribery
-We perform corruption risk assessments
-We have a specific approval procedure in place for sensitive transactions
-We take other actions to prevent corruption
-No action in place
-Do not know</t>
  </si>
  <si>
    <r>
      <rPr>
        <rFont val="Arial"/>
        <color theme="1"/>
      </rPr>
      <t xml:space="preserve">Max score: </t>
    </r>
    <r>
      <rPr>
        <rFont val="Arial"/>
        <b/>
        <color theme="1"/>
      </rPr>
      <t xml:space="preserve">5 </t>
    </r>
    <r>
      <rPr>
        <rFont val="Arial"/>
        <color theme="1"/>
      </rPr>
      <t xml:space="preserve">(max score is obtained when all the options except the last two are selected)
No score: 'No actions in place' and 'do not know'
</t>
    </r>
  </si>
  <si>
    <t>What actions are in place regarding information security?</t>
  </si>
  <si>
    <t>-We provide awareness training to prevent information security breaches
-We have a whistleblower procedure in place for stakeholders to report information security concerns
-We perform information security risk assessments
-We have an Incident Response Plan (IRP) in palce to manage breaches of confidential information
-We have implemented a record retention schedule
-We take measures to protect third party data from unauthorized access or disclosure
-We take measures for gaining stakeholder consent regarding the processing, sharing and retention of confidential information
-We take other actions to ensure information security
-No action in place
-Do not know</t>
  </si>
  <si>
    <r>
      <rPr>
        <rFont val="Arial"/>
        <color theme="1"/>
      </rPr>
      <t xml:space="preserve">Max score: </t>
    </r>
    <r>
      <rPr>
        <rFont val="Arial"/>
        <b/>
        <color theme="1"/>
      </rPr>
      <t>8</t>
    </r>
    <r>
      <rPr>
        <rFont val="Arial"/>
        <color theme="1"/>
      </rPr>
      <t xml:space="preserve"> (max score is obtained when all the options except the last two are selected)
No score: 'No actions in place' and 'do not know'
</t>
    </r>
  </si>
  <si>
    <t>Percentage of employees trained on ethics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</si>
  <si>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</si>
  <si>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Number of reports related to whistleblower procedure</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</si>
  <si>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</si>
  <si>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Number of confirmed corruption incidents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</si>
  <si>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</si>
  <si>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Number of instances of information security incidents including data breaches</t>
  </si>
  <si>
    <t>PRINCIPLE 9, Essential Indicators, Question 7(a)</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</si>
  <si>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</si>
  <si>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Number of instance of data breach involving loss of personally identifiable information of customers</t>
  </si>
  <si>
    <t>PRINCIPLE 9, Essential Indicators, Question 7(b)</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</si>
  <si>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</si>
  <si>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accounts payable</t>
  </si>
  <si>
    <t>PRINCIPLE 1, Essential Indicators, Question 8</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</si>
  <si>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</si>
  <si>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cost of goods/services procured</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</si>
  <si>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</si>
  <si>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Fair trade practices</t>
  </si>
  <si>
    <t>Total purchases (all types of procurement such as raw
material, spares, services, capex procurement
items etc. ) made by value</t>
  </si>
  <si>
    <t>PRINCIPLE 1, Essential Indicators, Question 9</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</si>
  <si>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</si>
  <si>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purchases from trading houses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</si>
  <si>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</si>
  <si>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number of trading houses where purchases were made</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</si>
  <si>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</si>
  <si>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purchases from top 10 trading houses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</si>
  <si>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</si>
  <si>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sales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</si>
  <si>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</si>
  <si>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sales to dealers/distributors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</si>
  <si>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</si>
  <si>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number of dealers/distributors to whom sales were made</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</si>
  <si>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</si>
  <si>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sales to top 10 dealers/distributors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</si>
  <si>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</si>
  <si>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purchases with related parties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</si>
  <si>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</si>
  <si>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sales to related parties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</si>
  <si>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</si>
  <si>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loans and advances made during the year</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</si>
  <si>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</si>
  <si>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loans and advances to related parties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</si>
  <si>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</si>
  <si>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investments made during the year</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</si>
  <si>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</si>
  <si>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Total investments made to related parties</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</si>
  <si>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</si>
  <si>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Disclosure</t>
  </si>
  <si>
    <t>Does the company publicly report its sustainability disclosures in accordance with nationally or globally recognized ESG frameworks e.g. BRSR, GRI, SASB, TCFD etc.?</t>
  </si>
  <si>
    <t>DJSI</t>
  </si>
  <si>
    <t>-Yes
-No</t>
  </si>
  <si>
    <r>
      <rPr>
        <rFont val="Arial"/>
        <color theme="1"/>
      </rPr>
      <t xml:space="preserve">Option 1: </t>
    </r>
    <r>
      <rPr>
        <rFont val="Arial"/>
        <b/>
        <color theme="1"/>
      </rPr>
      <t>1</t>
    </r>
    <r>
      <rPr>
        <rFont val="Arial"/>
        <color theme="1"/>
      </rPr>
      <t xml:space="preserve">
Option 2: </t>
    </r>
    <r>
      <rPr>
        <rFont val="Arial"/>
        <b/>
        <color theme="1"/>
      </rPr>
      <t>0</t>
    </r>
  </si>
  <si>
    <t>Does the company employ external assurance providers to conduct assurance for its sustainability reporting?</t>
  </si>
  <si>
    <r>
      <rPr>
        <rFont val="Arial"/>
        <color theme="1"/>
      </rPr>
      <t xml:space="preserve">Option 1: </t>
    </r>
    <r>
      <rPr>
        <rFont val="Arial"/>
        <b/>
        <color theme="1"/>
      </rPr>
      <t>1</t>
    </r>
    <r>
      <rPr>
        <rFont val="Arial"/>
        <color theme="1"/>
      </rPr>
      <t xml:space="preserve">
Option 2: </t>
    </r>
    <r>
      <rPr>
        <rFont val="Arial"/>
        <b/>
        <color theme="1"/>
      </rPr>
      <t>0</t>
    </r>
  </si>
  <si>
    <t>Board Diversity</t>
  </si>
  <si>
    <t>Does the company have a independence statement for the board of directors?</t>
  </si>
  <si>
    <t>-Yes and it is publicly available
-Yes but it is not publicly available
-No</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</si>
  <si>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</si>
  <si>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Does the company have a formal policy on board diversity in place?</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</si>
  <si>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</si>
  <si>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Percentage of women representatives on board</t>
  </si>
  <si>
    <t>BRSR/DJSI</t>
  </si>
  <si>
    <t>SECTION A: GENERAL DISCLOSURES, Question 21</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</si>
  <si>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</si>
  <si>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Ratio of compensation of the highest level executive of the company to the median compensation of all the employees excluding the highest level executive</t>
  </si>
  <si>
    <r>
      <rPr>
        <rFont val="Arial"/>
        <color theme="1"/>
      </rPr>
      <t xml:space="preserve">Data filled for both years and improvement observed: </t>
    </r>
    <r>
      <rPr>
        <rFont val="Arial"/>
        <b/>
        <color theme="1"/>
      </rPr>
      <t>2</t>
    </r>
    <r>
      <rPr>
        <rFont val="Arial"/>
        <color theme="1"/>
      </rPr>
      <t xml:space="preserve">
Data filled for both years but no improvement observed: </t>
    </r>
    <r>
      <rPr>
        <rFont val="Arial"/>
        <b/>
        <color theme="1"/>
      </rPr>
      <t>1</t>
    </r>
    <r>
      <rPr>
        <rFont val="Arial"/>
        <color theme="1"/>
      </rPr>
      <t xml:space="preserve">
Data not filled for both years: </t>
    </r>
    <r>
      <rPr>
        <rFont val="Arial"/>
        <b/>
        <color theme="1"/>
      </rPr>
      <t>0</t>
    </r>
  </si>
  <si>
    <t>Does the company have board level or executive level oversight on ESG/Sustainability issues?</t>
  </si>
  <si>
    <r>
      <rPr>
        <rFont val="Arial"/>
        <color theme="1"/>
      </rPr>
      <t xml:space="preserve">Option 1: </t>
    </r>
    <r>
      <rPr>
        <rFont val="Arial"/>
        <b/>
        <color theme="1"/>
      </rPr>
      <t>1</t>
    </r>
    <r>
      <rPr>
        <rFont val="Arial"/>
        <color theme="1"/>
      </rPr>
      <t xml:space="preserve">
Option 2: </t>
    </r>
    <r>
      <rPr>
        <rFont val="Arial"/>
        <b/>
        <color theme="1"/>
      </rPr>
      <t>0</t>
    </r>
  </si>
  <si>
    <t>Materiality</t>
  </si>
  <si>
    <t>Does the company conduct formal materiality assessment to idenitfy material issues that have the most impact on their business?</t>
  </si>
  <si>
    <t>-Yes, by external agency
-Yes, by internal teams
-No</t>
  </si>
  <si>
    <r>
      <rPr>
        <rFont val="Arial"/>
        <color theme="1"/>
      </rPr>
      <t xml:space="preserve">Option 1: </t>
    </r>
    <r>
      <rPr>
        <rFont val="Arial"/>
        <b/>
        <color theme="1"/>
      </rPr>
      <t>2</t>
    </r>
    <r>
      <rPr>
        <rFont val="Arial"/>
        <color theme="1"/>
      </rPr>
      <t xml:space="preserve">
Option 2: </t>
    </r>
    <r>
      <rPr>
        <rFont val="Arial"/>
        <b/>
        <color theme="1"/>
      </rPr>
      <t>1</t>
    </r>
    <r>
      <rPr>
        <rFont val="Arial"/>
        <color theme="1"/>
      </rPr>
      <t xml:space="preserve">
Option 3: </t>
    </r>
    <r>
      <rPr>
        <rFont val="Arial"/>
        <b/>
        <color theme="1"/>
      </rPr>
      <t>0</t>
    </r>
  </si>
  <si>
    <t>Risk Assessment</t>
  </si>
  <si>
    <t>Does the company have risk management processes and strategies to promote an effective risk culture?</t>
  </si>
  <si>
    <r>
      <rPr>
        <rFont val="Arial"/>
        <color theme="1"/>
      </rPr>
      <t xml:space="preserve">Option 1: </t>
    </r>
    <r>
      <rPr>
        <rFont val="Arial"/>
        <b/>
        <color theme="1"/>
      </rPr>
      <t>1</t>
    </r>
    <r>
      <rPr>
        <rFont val="Arial"/>
        <color theme="1"/>
      </rPr>
      <t xml:space="preserve">
Option 2: </t>
    </r>
    <r>
      <rPr>
        <rFont val="Arial"/>
        <b/>
        <color theme="1"/>
      </rPr>
      <t>0</t>
    </r>
  </si>
  <si>
    <t>Framework</t>
  </si>
  <si>
    <t>Code</t>
  </si>
  <si>
    <t>Global Reporting Initiative</t>
  </si>
  <si>
    <t>GRI</t>
  </si>
  <si>
    <t>Business Responsibility and Sustainability Reporting - Non-Core</t>
  </si>
  <si>
    <t>BRSR-NC</t>
  </si>
  <si>
    <t>Business Responsibility and Sustainability Reporting - Core</t>
  </si>
  <si>
    <t>BRSR-C</t>
  </si>
  <si>
    <t>ECO</t>
  </si>
  <si>
    <t>Greenco</t>
  </si>
  <si>
    <t>GRNCO</t>
  </si>
  <si>
    <t>Business ethics</t>
  </si>
  <si>
    <t>Board governance</t>
  </si>
  <si>
    <t>Risk management</t>
  </si>
  <si>
    <t>Sustainability strategy</t>
  </si>
  <si>
    <t>Community development</t>
  </si>
  <si>
    <t>Supplier governance assessment</t>
  </si>
  <si>
    <t>Climate strategy and decarbonization</t>
  </si>
  <si>
    <t>Sustainable finance</t>
  </si>
  <si>
    <t>Sustainable forestry</t>
  </si>
  <si>
    <t>Product quality &amp; innovation</t>
  </si>
  <si>
    <t>Sustainable raw materials</t>
  </si>
  <si>
    <t>Product end-of-life management</t>
  </si>
  <si>
    <t>Plastics control</t>
  </si>
  <si>
    <t>Does the company report its revenues, capital expenditure and operating expenditure in line with a sustainable activity reporting framework?</t>
  </si>
  <si>
    <t>Does the company have a publicly available independence statement for the board of directors?</t>
  </si>
  <si>
    <t>Does the company publicly report on its board type? Please indicate the number of executive and non-executive directors on the board of directors/supervisory board of the company and specify where this information is available. Additional clarification on one-tier and two-tier systems is available in the information text.</t>
  </si>
  <si>
    <t>No. of directors on board, no. of male independent directors, no. of female independant directors, no. of male executive directors, no. of female executive directors</t>
  </si>
  <si>
    <t>Is the board of directors/supervisory board headed by a non-executive and independent chairperson and/or an independent lead director? Please indicate where this information is available.</t>
  </si>
  <si>
    <t>Does the company have a formal policy on board diversity and is it available publicly?</t>
  </si>
  <si>
    <t>Please indicate the number of women on the company's board of directors/supervisory board and specify where this information is available. If the company has a one-tier board structure, this figure includes: female executive directors, non-executive directors and independent directors. If the company has a two-tier board structure, this figure only includes female independent directors and non executive directors (this means that senior executives and employee representatives should not be included).</t>
  </si>
  <si>
    <t>Already covered in previous question</t>
  </si>
  <si>
    <t>Does the company ensure the accountability of its board of directors/supervisory board and the alignment with the (long-term) interests of shareholders?</t>
  </si>
  <si>
    <t>Please indicate the average tenure of board members on the company’s board of directors/supervisory board in years. If the company has a one-tier board structure, this figure includes all members (executive directors, non-executive directors and independent directors). If the company has a two-tier board structure, this figure ONLY includes independent directors and non-executive directors (e.g. excluding employee representatives). Please indicate where this information is available.</t>
  </si>
  <si>
    <t>Please indicate the number of board members with relevant work experience in the company's sector according to GICS Level 1 sector classification (excluding executive members and employee representatives) and list the directors' names.</t>
  </si>
  <si>
    <t>Does the company have predefined corporate performance indicators relevant for the CEO's variable compensation and is it available publicly?</t>
  </si>
  <si>
    <t>Does the company have the following compensation structures in place to align with long-term performance? Please indicate where this information is available: Listed companies are required to provide links to public reports or corporate websites. Non-listed companies are required to provide internal documents and/or links to public reports or corporate websites.</t>
  </si>
  <si>
    <t>Does the company's CEO and other executive committee members hold company shares?</t>
  </si>
  <si>
    <t>Does the company have specific stock ownership requirements for the CEO and other members of your executive committee? Please indicate where this information is available:</t>
  </si>
  <si>
    <t>Please indicate whether individual governmental institutions own more than 5% of the total voting rights of the company and if yes, whether golden shares exist for them. Government ownership of 5% or less of voting rights need not be reported. Please also indicate where this information is available. For additional information, please see the information button.</t>
  </si>
  <si>
    <t>Please indicate whether one or several founding individuals or family members, personally or through other companies or organizations, individually have more than 5% of the voting rights of the company. Please also indicate where this information is available. For additional information, please see the information button.</t>
  </si>
  <si>
    <t>Please provide the annual compensation for the CEO and the median of the annual compensation of all other employees, as well as the ratio between the two. If the company is unable to provide the median, please provide figures for total mean compensation and the ratio using the mean. The currency provided should remain consistent for all figures.</t>
  </si>
  <si>
    <t>Marks given if response provided</t>
  </si>
  <si>
    <t>Does the company have board level or executive oversight structures in place to formalize the responsibility for ESG/Sustainability issues?</t>
  </si>
  <si>
    <t>Does the company disclose details of its materiality determination process and how the materiality analysis is conducted?</t>
  </si>
  <si>
    <t>Does the company conduct materiality analysis to identify the three most important material issues (economic, environmental, or social) that have the greatest impact on the business, report on how these issues impact the business and serve as significant determinants of long-term value creation?</t>
  </si>
  <si>
    <t>Does the company have targets or metrics linked to the top three material issues and does it disclose the progress of these targets or metrics? Does the company link executive compensation with the targets or metrics involved? Please specify where the information is available in public reporting.</t>
  </si>
  <si>
    <t>Has the company conducted a materiality analysis to identify and value the positive/negative impact on external stakeholders associated with the company’s business operations, products/services and/or its supply chain? Please indicate two material issues that illustrate the most significant social or environmental impact on external stakeholder groups (e.g., environment, society, or customers). Note that philanthropic initiatives or project-based Environmental and Social Impact Assessments (ESIA, EIA) are not accepted in this question.</t>
  </si>
  <si>
    <t>Has the company evaluated the positive/negative impacts on external stakeholders using quantitative output and impact metrics? Please note that philanthropic initiatives or project-based impact assessments are not accepted in this question.</t>
  </si>
  <si>
    <t>Please indicate two important long-term (3-5 years+) emerging risks that the company identifies with the most significant impact on the 
business in the future, and indicate any mitigating actions that the company has taken in light of these risks. For each risk, please 
provide supporting evidence available in the company's reporting for the description of the risk, the business impact and any mitigating 
actions, and choose the category to which the risk belongs.</t>
  </si>
  <si>
    <t>Is the company a signatory/participant of the UN Global Compact and is this information publicly available?</t>
  </si>
  <si>
    <t>Does the company have a code of conduct at a group level (including subsidiaries) and is it publicly available?</t>
  </si>
  <si>
    <t>Already covered</t>
  </si>
  <si>
    <t>Does the company have a group-wide policy on anti-bribery and anti-corruption and is it available publicly?</t>
  </si>
  <si>
    <t>Does the company have mechanisms in place for identifying, reporting, and investigating breaches of its code of conduct and are they available publicly?</t>
  </si>
  <si>
    <t>Does the company publicly report on breaches (e.g. Corruption, Discrimination etc.) against its Code of Conduct/ethics? Please specify where this information is available in your public reporting or corporate website.</t>
  </si>
  <si>
    <t>Please indicate the company's annual total monetary contributions to and spending for political campaigns, political organizations, lobbyists or lobbying organizations, trade associations and other tax-exempt groups, as defined in the infotext. If this information is publicly reported, please provide supporting evidence or indicate the weblink below. PAC contributions by employees should not be included.</t>
  </si>
  <si>
    <t>Did the company make any contributions to or expenditures to political campaigns or organizations, lobbying, trade associations, tax exempt entities, or other groups whose role is to influence political campaigns or public policy and legislation? In this context, a “contribution” is the aggregate amount given during the fiscal period to an individual candidate, organization, ballot measure, or “issue area” or “topic” requiring lobbying efforts. Please see the Information Button for examples. PAC contributions by employees should not be included.</t>
  </si>
  <si>
    <t>Does the company have governance mechanisms in place to oversee information security activities and are they available publicly?</t>
  </si>
  <si>
    <t>Does the company have an information security policy and is it available publicly?</t>
  </si>
  <si>
    <t>Does the company have an information security management program in place?</t>
  </si>
  <si>
    <t>Does the company conduct supplier screening to systematically identify significant suppliers and is this information available publicly?</t>
  </si>
  <si>
    <t>Does the company have a process for supplier assessment and development?</t>
  </si>
  <si>
    <t>Does the company monitor and report on coverage and progress of its supplier screening program?</t>
  </si>
  <si>
    <t>Does the company monitor and report on the coverage and progress of its supplier assessment and/or development program? Please report the number of unique suppliers, which were identified as significant in the supplier screening process. These are unique significant suppliers assessed during the reporting period (not number of assessments realized, i.e. no multiple count of suppliers if they were assessed more than once during the reporting period).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</si>
</sst>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color theme="1"/>
      <name val="Arial"/>
    </font>
    <font>
      <color rgb="FF434343"/>
      <name val="Roboto"/>
    </font>
    <font>
      <b/>
      <color theme="1"/>
      <name val="Arial"/>
    </font>
    <font>
      <sz val="11.0"/>
      <color rgb="FF0F1115"/>
      <name val="Roboto"/>
    </font>
    <font>
      <sz val="10.0"/>
      <color rgb="FF0F1115"/>
      <name val="Roboto"/>
    </font>
    <font>
      <sz val="10.0"/>
      <color theme="1"/>
      <name val="Roboto"/>
    </font>
    <font>
      <sz val="11.0"/>
      <color rgb="FF0F1115"/>
      <name val="Arial"/>
    </font>
    <font>
      <sz val="11.0"/>
      <color rgb="FF0F1115"/>
      <name val="Quote-cjk-patch"/>
    </font>
  </fonts>
  <fills count="13">
    <fill>
      <patternFill patternType="none"/>
    </fill>
    <fill>
      <patternFill patternType="lightGray"/>
    </fill>
    <fill>
      <patternFill patternType="solid">
        <fgColor rgb="FFF6F8F9"/>
        <bgColor rgb="FFF6F8F9"/>
      </patternFill>
    </fill>
    <fill>
      <patternFill patternType="solid">
        <fgColor rgb="FFFFFFFF"/>
        <bgColor rgb="FFFFFFFF"/>
      </patternFill>
    </fill>
    <fill>
      <patternFill patternType="solid">
        <fgColor rgb="FFC9DAF8"/>
        <bgColor rgb="FFC9DAF8"/>
      </patternFill>
    </fill>
    <fill>
      <patternFill patternType="solid">
        <fgColor rgb="FF93C47D"/>
        <bgColor rgb="FF93C47D"/>
      </patternFill>
    </fill>
    <fill>
      <patternFill patternType="solid">
        <fgColor rgb="FFFFFF00"/>
        <bgColor rgb="FFFFFF00"/>
      </patternFill>
    </fill>
    <fill>
      <patternFill patternType="solid">
        <fgColor theme="0"/>
        <bgColor theme="0"/>
      </patternFill>
    </fill>
    <fill>
      <patternFill patternType="solid">
        <fgColor rgb="FFB6D7A8"/>
        <bgColor rgb="FFB6D7A8"/>
      </patternFill>
    </fill>
    <fill>
      <patternFill patternType="solid">
        <fgColor rgb="FFF9CB9C"/>
        <bgColor rgb="FFF9CB9C"/>
      </patternFill>
    </fill>
    <fill>
      <patternFill patternType="solid">
        <fgColor rgb="FFCFE2F3"/>
        <bgColor rgb="FFCFE2F3"/>
      </patternFill>
    </fill>
    <fill>
      <patternFill patternType="solid">
        <fgColor rgb="FF00FF00"/>
        <bgColor rgb="FF00FF00"/>
      </patternFill>
    </fill>
    <fill>
      <patternFill patternType="solid">
        <fgColor rgb="FFFF9900"/>
        <bgColor rgb="FFFF9900"/>
      </patternFill>
    </fill>
  </fills>
  <borders count="4">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0" fillId="0" fontId="2" numFmtId="9" xfId="0" applyFont="1" applyNumberFormat="1"/>
    <xf borderId="0" fillId="0" fontId="2" numFmtId="0" xfId="0" applyFont="1"/>
    <xf borderId="0" fillId="0" fontId="2" numFmtId="0" xfId="0" applyAlignment="1" applyFont="1">
      <alignment horizontal="left" shrinkToFit="0" vertical="center" wrapText="1"/>
    </xf>
    <xf borderId="0" fillId="0" fontId="2"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1" numFmtId="0" xfId="0" applyFont="1"/>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1" fillId="2" fontId="3" numFmtId="0" xfId="0" applyAlignment="1" applyBorder="1" applyFill="1" applyFont="1">
      <alignment shrinkToFit="0" vertical="center" wrapText="1"/>
    </xf>
    <xf borderId="2" fillId="3" fontId="3" numFmtId="0" xfId="0" applyAlignment="1" applyBorder="1" applyFill="1" applyFont="1">
      <alignment shrinkToFit="0" vertical="center" wrapText="1"/>
    </xf>
    <xf borderId="0" fillId="4" fontId="2" numFmtId="0" xfId="0" applyAlignment="1" applyFill="1" applyFont="1">
      <alignment shrinkToFit="0" vertical="center" wrapText="0"/>
    </xf>
    <xf borderId="0" fillId="4" fontId="2" numFmtId="0" xfId="0" applyAlignment="1" applyFont="1">
      <alignment shrinkToFit="0" vertical="center" wrapText="1"/>
    </xf>
    <xf borderId="0" fillId="4" fontId="2" numFmtId="0" xfId="0" applyAlignment="1" applyFont="1">
      <alignment readingOrder="0" shrinkToFit="0" vertical="center" wrapText="0"/>
    </xf>
    <xf borderId="0" fillId="4" fontId="2" numFmtId="0" xfId="0" applyFont="1"/>
    <xf borderId="0" fillId="5" fontId="2" numFmtId="0" xfId="0" applyAlignment="1" applyFill="1" applyFont="1">
      <alignment shrinkToFit="0" vertical="center" wrapText="0"/>
    </xf>
    <xf borderId="0" fillId="0" fontId="1" numFmtId="0" xfId="0" applyAlignment="1" applyFont="1">
      <alignment readingOrder="0"/>
    </xf>
    <xf borderId="0" fillId="0" fontId="2" numFmtId="0" xfId="0" applyAlignment="1" applyFont="1">
      <alignment shrinkToFit="0" vertical="center" wrapText="0"/>
    </xf>
    <xf borderId="0" fillId="0" fontId="1" numFmtId="0" xfId="0" applyAlignment="1" applyFont="1">
      <alignment readingOrder="0"/>
    </xf>
    <xf borderId="0" fillId="0" fontId="4" numFmtId="0" xfId="0" applyAlignment="1" applyFont="1">
      <alignment horizontal="left" shrinkToFit="0" vertical="center" wrapText="0"/>
    </xf>
    <xf borderId="3" fillId="0" fontId="2" numFmtId="0" xfId="0" applyAlignment="1" applyBorder="1" applyFont="1">
      <alignment shrinkToFit="0" vertical="center" wrapText="0"/>
    </xf>
    <xf borderId="0" fillId="0" fontId="4" numFmtId="0" xfId="0" applyAlignment="1" applyFont="1">
      <alignment horizontal="left" shrinkToFit="0" vertical="center" wrapText="1"/>
    </xf>
    <xf borderId="0" fillId="0" fontId="2" numFmtId="0" xfId="0" applyAlignment="1" applyFont="1">
      <alignment horizontal="center" shrinkToFit="0" vertical="center" wrapText="1"/>
    </xf>
    <xf borderId="0" fillId="0" fontId="2" numFmtId="49" xfId="0" applyAlignment="1" applyFont="1" applyNumberFormat="1">
      <alignment horizontal="left" shrinkToFit="0" vertical="center" wrapText="0"/>
    </xf>
    <xf borderId="0" fillId="0" fontId="5" numFmtId="0" xfId="0" applyAlignment="1" applyFont="1">
      <alignment shrinkToFit="0" vertical="center" wrapText="1"/>
    </xf>
    <xf borderId="0" fillId="0" fontId="6" numFmtId="0" xfId="0" applyAlignment="1" applyFont="1">
      <alignment shrinkToFit="0" vertical="center" wrapText="1"/>
    </xf>
    <xf borderId="0" fillId="0" fontId="7" numFmtId="0" xfId="0" applyAlignment="1" applyFont="1">
      <alignment shrinkToFit="0" vertical="center" wrapText="1"/>
    </xf>
    <xf borderId="1" fillId="0" fontId="3" numFmtId="0" xfId="0" applyAlignment="1" applyBorder="1" applyFont="1">
      <alignment shrinkToFit="0" vertical="center" wrapText="1"/>
    </xf>
    <xf borderId="0" fillId="0" fontId="2" numFmtId="0" xfId="0" applyAlignment="1" applyFont="1">
      <alignment horizontal="center" shrinkToFit="0" vertical="center" wrapText="0"/>
    </xf>
    <xf borderId="0" fillId="6" fontId="2" numFmtId="0" xfId="0" applyAlignment="1" applyFill="1" applyFont="1">
      <alignment shrinkToFit="0" vertical="center" wrapText="0"/>
    </xf>
    <xf borderId="0" fillId="7" fontId="2" numFmtId="0" xfId="0" applyFill="1" applyFont="1"/>
    <xf borderId="0" fillId="0" fontId="8" numFmtId="0" xfId="0" applyAlignment="1" applyFont="1">
      <alignment shrinkToFit="0" vertical="center" wrapText="1"/>
    </xf>
    <xf borderId="2" fillId="0" fontId="3" numFmtId="0" xfId="0" applyAlignment="1" applyBorder="1" applyFont="1">
      <alignment shrinkToFit="0" vertical="center" wrapText="0"/>
    </xf>
    <xf borderId="0" fillId="0" fontId="9" numFmtId="0" xfId="0" applyAlignment="1" applyFont="1">
      <alignment shrinkToFit="0" vertical="center" wrapText="1"/>
    </xf>
    <xf borderId="0" fillId="0" fontId="2" numFmtId="0" xfId="0" applyAlignment="1" applyFont="1">
      <alignment horizontal="left" shrinkToFit="0" vertical="top" wrapText="1"/>
    </xf>
    <xf borderId="0" fillId="0" fontId="2" numFmtId="0" xfId="0" applyAlignment="1" applyFont="1">
      <alignment shrinkToFit="0" wrapText="1"/>
    </xf>
    <xf borderId="0" fillId="0" fontId="4" numFmtId="0" xfId="0" applyFont="1"/>
    <xf borderId="3" fillId="0" fontId="4" numFmtId="0" xfId="0" applyBorder="1" applyFont="1"/>
    <xf borderId="3" fillId="0" fontId="2" numFmtId="0" xfId="0" applyBorder="1" applyFont="1"/>
    <xf borderId="3" fillId="0" fontId="4" numFmtId="0" xfId="0" applyAlignment="1" applyBorder="1" applyFont="1">
      <alignment shrinkToFit="0" wrapText="1"/>
    </xf>
    <xf borderId="3" fillId="8" fontId="2" numFmtId="0" xfId="0" applyBorder="1" applyFill="1" applyFont="1"/>
    <xf borderId="3" fillId="0" fontId="2" numFmtId="9" xfId="0" applyAlignment="1" applyBorder="1" applyFont="1" applyNumberFormat="1">
      <alignment shrinkToFit="0" wrapText="1"/>
    </xf>
    <xf borderId="0" fillId="0" fontId="2" numFmtId="10" xfId="0" applyFont="1" applyNumberFormat="1"/>
    <xf borderId="3" fillId="9" fontId="2" numFmtId="0" xfId="0" applyBorder="1" applyFill="1" applyFont="1"/>
    <xf borderId="3" fillId="10" fontId="2" numFmtId="0" xfId="0" applyBorder="1" applyFill="1" applyFont="1"/>
    <xf borderId="0" fillId="0" fontId="7" numFmtId="0" xfId="0" applyAlignment="1" applyFont="1">
      <alignment horizontal="left" shrinkToFit="0" vertical="center" wrapText="1"/>
    </xf>
    <xf borderId="0" fillId="2" fontId="3" numFmtId="0" xfId="0" applyAlignment="1" applyFont="1">
      <alignment shrinkToFit="0" vertical="center" wrapText="1"/>
    </xf>
    <xf borderId="0" fillId="0" fontId="6" numFmtId="0" xfId="0" applyAlignment="1" applyFont="1">
      <alignment shrinkToFit="0" vertical="center" wrapText="0"/>
    </xf>
    <xf borderId="0" fillId="3" fontId="3" numFmtId="0" xfId="0" applyAlignment="1" applyFont="1">
      <alignment shrinkToFit="0" vertical="center" wrapText="1"/>
    </xf>
    <xf borderId="0" fillId="11" fontId="2" numFmtId="0" xfId="0" applyAlignment="1" applyFill="1" applyFont="1">
      <alignment shrinkToFit="0" wrapText="1"/>
    </xf>
    <xf borderId="0" fillId="11" fontId="2" numFmtId="0" xfId="0" applyFont="1"/>
    <xf borderId="0" fillId="12" fontId="2" numFmtId="0" xfId="0" applyAlignment="1" applyFill="1" applyFont="1">
      <alignment shrinkToFit="0" wrapText="1"/>
    </xf>
    <xf borderId="0" fillId="12" fontId="2" numFmtId="0" xfId="0" applyFont="1"/>
    <xf borderId="0" fillId="6"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0">
    <tableStyle count="3" pivot="0" name="Master questionnaire - Basic le-style">
      <tableStyleElement dxfId="1" type="headerRow"/>
      <tableStyleElement dxfId="2" type="firstRowStripe"/>
      <tableStyleElement dxfId="3" type="secondRowStripe"/>
    </tableStyle>
    <tableStyle count="3" pivot="0" name="Master questionnaire-General-style">
      <tableStyleElement dxfId="1" type="headerRow"/>
      <tableStyleElement dxfId="2" type="firstRowStripe"/>
      <tableStyleElement dxfId="3" type="secondRowStripe"/>
    </tableStyle>
    <tableStyle count="3" pivot="0" name="Master questionnaire-General-style 2">
      <tableStyleElement dxfId="1" type="headerRow"/>
      <tableStyleElement dxfId="2" type="firstRowStripe"/>
      <tableStyleElement dxfId="3" type="secondRowStripe"/>
    </tableStyle>
    <tableStyle count="3" pivot="0" name="Master questionnaire-General-style 3">
      <tableStyleElement dxfId="1" type="headerRow"/>
      <tableStyleElement dxfId="2" type="firstRowStripe"/>
      <tableStyleElement dxfId="3" type="secondRowStripe"/>
    </tableStyle>
    <tableStyle count="3" pivot="0" name="Master questionnaire-General-style 4">
      <tableStyleElement dxfId="1" type="headerRow"/>
      <tableStyleElement dxfId="2" type="firstRowStripe"/>
      <tableStyleElement dxfId="3" type="secondRowStripe"/>
    </tableStyle>
    <tableStyle count="3" pivot="0" name="Master questionnaire - Advanced-style">
      <tableStyleElement dxfId="1" type="headerRow"/>
      <tableStyleElement dxfId="2" type="firstRowStripe"/>
      <tableStyleElement dxfId="3" type="secondRowStripe"/>
    </tableStyle>
    <tableStyle count="3" pivot="0" name="Sheet8-style">
      <tableStyleElement dxfId="1" type="headerRow"/>
      <tableStyleElement dxfId="2" type="firstRowStripe"/>
      <tableStyleElement dxfId="3" type="secondRowStripe"/>
    </tableStyle>
    <tableStyle count="3" pivot="0" name="Sheet9-style">
      <tableStyleElement dxfId="1" type="headerRow"/>
      <tableStyleElement dxfId="2" type="firstRowStripe"/>
      <tableStyleElement dxfId="3" type="secondRowStripe"/>
    </tableStyle>
    <tableStyle count="3" pivot="0" name="ESG framework coding-style">
      <tableStyleElement dxfId="1" type="headerRow"/>
      <tableStyleElement dxfId="2" type="firstRowStripe"/>
      <tableStyleElement dxfId="3" type="secondRowStripe"/>
    </tableStyle>
    <tableStyle count="3" pivot="0" name="ESG Subcategor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7" Type="http://schemas.openxmlformats.org/officeDocument/2006/relationships/pivotCacheDefinition" Target="pivotCache/pivotCacheDefinition4.xml"/><Relationship Id="rId16" Type="http://schemas.openxmlformats.org/officeDocument/2006/relationships/pivotCacheDefinition" Target="pivotCache/pivotCacheDefinition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54" sheet="Master questionnaire - Basic le"/>
  </cacheSource>
  <cacheFields>
    <cacheField name="S.No." numFmtId="0">
      <sharedItems containsSemiMixedTypes="0" containsString="0" containsNumber="1" containsInteger="1">
        <n v="1.0"/>
        <n v="2.0"/>
        <n v="3.0"/>
        <n v="4.0"/>
        <n v="5.0"/>
        <n v="6.0"/>
        <n v="7.0"/>
        <n v="8.0"/>
        <n v="9.0"/>
        <n v="10.0"/>
        <n v="11.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sharedItems>
    </cacheField>
    <cacheField name="ESG" numFmtId="0">
      <sharedItems>
        <s v="Environment"/>
        <s v="Social"/>
        <s v="Governance"/>
      </sharedItems>
    </cacheField>
    <cacheField name="ESG Sub-category" numFmtId="0">
      <sharedItems>
        <s v="Energy management"/>
        <s v="GHG emissions"/>
        <s v="Water management"/>
        <s v="Waste management"/>
        <s v="Air emissions"/>
        <s v="Chemicals management"/>
        <s v="Compliance"/>
        <s v="Certification"/>
        <s v="Health and safety"/>
        <s v="Employee welfare"/>
        <s v="Diversity and inclusivity"/>
        <s v="Human rights"/>
        <s v="Employee training and development"/>
        <s v="Ethics"/>
        <s v="Supplier assessment"/>
        <s v="Leadership"/>
        <s v="Customer satisfaction"/>
        <s v="Data protection"/>
      </sharedItems>
    </cacheField>
    <cacheField name="Question statement" numFmtId="0">
      <sharedItems>
        <s v="Do you track your electricity usage each month/annually?"/>
        <s v="Do you consume electricity from renewable sources?"/>
        <s v="Do you track your total fuel consumed from non-renewable and renewable sources each month/annually?"/>
        <s v="Do you consume any kind of biofuel?"/>
        <s v="Mention the type of biofuel consumed."/>
        <s v="Do you monitor Scope 1 emissions?"/>
        <s v="Do you monitor Scope 2 emissions (from purchased electricity)?"/>
        <s v="Do you monitor Scope 3 emissions ?"/>
        <s v="Do you monitor your total water withdrawal each month/annually?"/>
        <s v="Do you monitor your total water consumption each month/annually?"/>
        <s v="Do you monitor your total wastewater discharged (treated/untreated) each month/annually?"/>
        <s v="Do you track the total waste disposed by waste type annually?"/>
        <s v="Do you segregate waste into hazardous and non-hazardous categories?"/>
        <s v="Do you maintain Form-10 for hazardous waste disposed?"/>
        <s v="Do you conduct air emissions testing (quaterly/annually)?"/>
        <s v="Do you maintain MSDS for chemicals stored/used at your site?"/>
        <s v="Do you train employees on safe handling of chemicals?"/>
        <s v="Do you have a valid CTO (Consent to operate)?"/>
        <s v="Do you have a valid CTE (Consent to establish)?"/>
        <s v="Do you have ISO 14001 certification for your environment management system?"/>
        <s v="Were there any major violations of environmental regulations in last three years?"/>
        <s v="Do you record Lost Time Injuries?"/>
        <s v="Do you record number of fatalities?"/>
        <s v="Do you record first aid cases?"/>
        <s v="Do you record near misses?"/>
        <s v="Do you provide safety induction training to employees and workers?"/>
        <s v="Do you provide health insurance to your employees?"/>
        <s v="Do you provide annual health check up to all employees and workers?"/>
        <s v="Are workers covered under ESIC (Employee State Insurance Corporation)?"/>
        <s v="Were there any major violations of safety related regulations in last three years?"/>
        <s v="Are safety related accidents reported to the Factory Inspector and ESIC as required?"/>
        <s v="Do you have mechanism for employees and workers to report grievances?"/>
        <s v="Do you conduct safety and hazard related risk assessments for your site?"/>
        <s v="Do you have ISO 45001 certification?"/>
        <s v="Have you taken measures to ensure fire safety on site?"/>
        <s v="Do you provide maternity benefits to your female mployees?"/>
        <s v="What is the percentage of women in your total workforce?"/>
        <s v="Do you provide retirement benefits like PF and gratuity to your employees?"/>
        <s v="Do you ensure that no worker/employee is below 18 years of age at the time of joining?"/>
        <s v="Do you have a POSH policy?"/>
        <s v="Do you have an Internal Complaints Committee (ICC) for handling POSH cases?"/>
        <s v="Do you provide training/awareness session to employees on POSH?"/>
        <s v="Do you cover POSH details as part of your annual report?"/>
        <s v="Do you provide skill upgradation trainings periodically to your employees and workers?"/>
        <s v="Do you have a Code of Conduct/Code of Ethics/Ethics policy?"/>
        <s v="Do you have a document with procedure for vendor selection and procurement processes?"/>
        <s v="Do you conduct capacity building for your suppliers on ESG/Sustainability?"/>
        <s v="Do you provide minimum wage to your employees and workers?"/>
        <s v="Were there any major labour laws (Wages, PF, ESI, POSH etc.) related violations in the last three years?"/>
        <s v="Do you have a governance structure responsible for key business decisions and responsible busines conduct?"/>
        <s v="Do you have a mechanism for reporting and handling ethics/code of conduct violations?"/>
        <s v="Do you have a mechanism for reporting and handling customer complaints?"/>
        <s v="Do you have a mechanism for data protection and cybersecurity?"/>
      </sharedItems>
    </cacheField>
    <cacheField name="Core/Strategic" numFmtId="0">
      <sharedItems>
        <s v="Core"/>
        <s v="Strategic"/>
      </sharedItems>
    </cacheField>
    <cacheField name="Type of question (Standalone, linked)" numFmtId="0">
      <sharedItems>
        <s v="Standalone"/>
        <s v="Linked to previous"/>
      </sharedItems>
    </cacheField>
    <cacheField name="Response options for radio questions" numFmtId="0">
      <sharedItems>
        <s v="Yes/No"/>
        <s v="Yes, we have a captive plant on-site for self-consumption; &#10;Yes, we have a captive plant off-site for self-consumption; &#10;Yes, we have signed a power purchase agreement with an RE company for supply of green power; &#10;Yes, we purchase green power from power "/>
        <s v="User input"/>
        <s v="Yes, for few categories of Scope 3; Yes, for all categories relevant for our business; No"/>
        <s v="Yes, 100% of workers are covered under ESIC; Yes, less than 100% of workers are covered under ESIC; No"/>
        <s v="&lt;5%; &#10;&lt;10%; &#10;&gt;10%"/>
        <s v="Yes, we provide equal to minimum wage to all employees and workers; &#10;Yes, we provide more than minimum wage toall employees and workers; &#10;No"/>
        <s v="Yes, we have a Board of Directors;&#10;Yes, we have a Proprietarship declaration;&#10;Yes, we have an LLP agreement;&#10;Yes. we have an Management Committee;&#10;Yes, we have an informal advisory board;&#10;Yes, we have a formal advisory board;&#10;No&#10;"/>
        <s v="Yes, we have a policy for reporting and handling ethics/code of conduct violations;&#10;Yes, we have an whistleblower procedure;&#10;Yes, we have a committee set up for handling such violations;&#10;No"/>
        <s v="Yes, we have a policy for reporting and handling customer complaints;&#10;Yes, we have a dedicated team for handling customer complaints;&#10;Yes, we handle customer complaints alongside other customer related queries;&#10;No"/>
        <s v="Yes, we have a data protection policy;&#10;Yes, we have taken measures for data protection;&#10;No"/>
      </sharedItems>
    </cacheField>
    <cacheField name="Evidence required" numFmtId="0">
      <sharedItems>
        <s v="Internal electricity consumption tracking report/excel sheet"/>
        <s v="Contract with RE power company/Internal RE power consumption tracking report/excel sheet"/>
        <s v="Internal fuel consumption tracking report/excel sheet"/>
        <s v="-"/>
        <s v="Bill showing purchase of biofuel with quantity mentioned"/>
        <s v="Internal GHG emissions tracking report/excel sheet;&#10;Screenshot of ESG/GHG dashboard"/>
        <s v="Water bills of last three months;&#10;Borewell water withdrawal record"/>
        <s v="Internal water use/consumption/discharge tracking report/excel sheet;&#10;Water flowmeter screenshot/calibration certificate"/>
        <s v="Internal water use/consumption/discharge tracking report/excel sheet"/>
        <s v="Internal waste disposed tracking report/excel sheet"/>
        <s v="Recent Form-10"/>
        <s v="Recent air emissions test report"/>
        <s v="Training record of employees who attended training on safe handling of chemicals (with date, name and signature of trainer and trainees)"/>
        <s v="Certification"/>
        <s v="Screenshot of internal safety incident register/logbook;&#10;Internal safety incident tracking report/excel sheet"/>
        <s v="Training record (with date, name and signature of trainer and trainees, name of training)"/>
        <s v="Health insurance corporate policy with policy number"/>
        <s v="Communication email showing date and timing of health check up, photos clicked during check up"/>
        <s v="Relevant clause from worker contract mentioning ESIC"/>
        <s v="Sample of Form-18 (Fatality) or Form-21 (Injuries) if available"/>
        <s v="Document with details of grievance redressal mechanism"/>
        <s v="Hazard Identification and Risk Assessment document"/>
        <s v="Certificate"/>
        <s v="Training of employees and workers on fire safety (with date, name and signature of trainer and trainees, name of training)"/>
        <s v="Screenshot of relevant clause from employee offer letter"/>
        <s v="Employee headcount master file showing male and female breakup of all employees and workers"/>
        <s v="Relevant clause from employee compensation policy"/>
        <s v="Document showing employee age verification procedure"/>
        <s v="POSH policy"/>
        <s v="Code of Conduct/Code of Ethics/Ethics policy"/>
        <s v="Document showing vendor selection process"/>
        <s v="Training material/presentation for suppliers on ESG/Sustainability"/>
        <s v="Screenshot of wage register, Copy of minimum wage notification "/>
        <s v="Document with details of Board of Directors/ Proprietarship declaration/ LLP agreement/ Management Committee Charter/ Document with details of advisory board members"/>
        <s v="Policy document/ WHistleblower procedure document/ Details of committee handling ethics violations"/>
        <s v="Policy document"/>
      </sharedItems>
    </cacheField>
    <cacheField name="Score" numFmtId="0">
      <sharedItems>
        <s v="Yes: 1&#10;No: 0"/>
        <s v="Yes: 1 (options 1 to 4)&#10;No: 0"/>
        <s v="Yes: 0&#10;No: 1"/>
      </sharedItems>
    </cacheField>
    <cacheField name="Remarks by the responder" numFmtId="0">
      <sharedItems containsString="0" containsBlank="1">
        <m/>
      </sharedItems>
    </cacheField>
    <cacheField name="Guidelines for strategic questions" numFmtId="0">
      <sharedItems containsBlank="1">
        <m/>
        <s v="Question to be shown only if answer to previous question is 'Ye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54" sheet="Master questionnaire - Advanced"/>
  </cacheSource>
  <cacheFields>
    <cacheField name="S.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sharedItems>
    </cacheField>
    <cacheField name="ESG" numFmtId="0">
      <sharedItems>
        <s v="Environment"/>
      </sharedItems>
    </cacheField>
    <cacheField name="ESG Sub-category" numFmtId="0">
      <sharedItems>
        <s v="Energy"/>
        <s v="Energy "/>
        <s v="Water"/>
        <s v="Waste"/>
        <s v="GHG"/>
        <s v="Air Pollution"/>
      </sharedItems>
    </cacheField>
    <cacheField name="Assessment attibute" numFmtId="0">
      <sharedItems>
        <s v="Policy"/>
        <s v="Actions"/>
        <s v="Performance"/>
        <s v="Strategic"/>
      </sharedItems>
    </cacheField>
    <cacheField name="Question statement" numFmtId="0">
      <sharedItems>
        <s v="Does the company have a policy on energy management?"/>
        <s v="What actions has the company taken to reduce its energy consumption? Please select all that apply"/>
        <s v="Total energy consumption (in GJ)"/>
        <s v="Total renewable energy consumption (in GJ) (covers bio-based fuels and electricity from renewable sources)"/>
        <s v="Total non-renewable energy (fuel only) consumption (in GJ)"/>
        <s v="Total electricity (grid) consumed (in kWh)"/>
        <s v="Total electricity from renewable sources consumed (in kWh)"/>
        <s v="Have you conducted audit/assurance of your energy consumption?"/>
        <s v="What arrangement do you have in place for electricity consumed from renewable sources? Please select all that apply."/>
        <s v="Does the company have a policy on water management?"/>
        <s v="What actions has the company taken to reduce its water consumption and water discharge?"/>
        <s v="Annual water withdrawal"/>
        <s v="Annual water discharge (treated or untreated)"/>
        <s v="Quantity of water discharged undergoing primary treatment "/>
        <s v="Quantity of water discharged undergoing secondary treatment "/>
        <s v="Quantity of water discharged undergoing tertiary treatment "/>
        <s v="Have you conducted a water assessment study for your operations?"/>
        <s v="Have you installed rainwater harvesting system at your facility?"/>
        <s v="Have you conducted audit/assurance of water consumption and discharge?"/>
        <s v="Do you conduct testing of wastewater before discharge to check the weight of pollutants?"/>
        <s v="Does the company have a policy on waste management ?"/>
        <s v="What actions has the company taken regarding reduction of wastes and hazardous materials? Please select all that apply"/>
        <s v="Total waste disposed"/>
        <s v="Plastic waste disposed"/>
        <s v="E-Waste disposed"/>
        <s v="Biomedical waste disposed"/>
        <s v="Construction &amp; demolition waste disposed"/>
        <s v="Battery waste disposed"/>
        <s v="Radioactive waste disposed"/>
        <s v="Other non-hazardous waste disposed"/>
        <s v="Quantity of waste sent for recycling"/>
        <s v="Quantity of waste reused onsite/offsite"/>
        <s v="Quantity of waste sent for incineration (without energy recovery)"/>
        <s v="Quantity of waste sent for incineration (with energy recovery)"/>
        <s v="Quantity of waste sent to landfill"/>
        <s v="Have you conducted audit/assurance of waste disposed during the year?"/>
        <s v="Do you conduct audit of your waste recyclers/vendors?"/>
        <s v="Does the company have a policy on GHG emissions management ?"/>
        <s v="What actions has the company taken regarding reduction of GHG emissions? Please select all that apply"/>
        <s v="Describe your company's GHG emission reduction targets (select all that apply)"/>
        <s v="Describe your company's GHG reporting practices (select all that apply)"/>
        <s v="Total Scope 1 emissions"/>
        <s v="Total Scope 2 emissions"/>
        <s v="Total Scope 3 emissions"/>
        <s v="Total upstream Scope 3 emissions (Covering the following categories as applicable to the company: &#10;# purchased goods and services&#10;# capital goods&#10;# fuel and energy related activities (not included in scope 1 or 2)&#10;# upstream transportation and distributio"/>
        <s v="Total downstream Scope 3 emissions (Covering the following categories  as applicable to the company:&#10;# downstream transportation and distribution&#10;# processing of sold products&#10;# use of sold products&#10;# end-of-life treatment of sold products&#10;# downstream le"/>
        <s v="What method was used to calculate Scope 3 emissions?"/>
        <s v="Does the company have a policy on reducing air pollution and emissions other than GHG?"/>
        <s v="What actions has the company taken to reduce air pollution and emissions other than GHG?"/>
        <s v="Total SOx emissions"/>
        <s v="Total NOx emissions"/>
        <s v="Total PM emissions"/>
        <s v="Do you conduct audit of your air emissions other than GHG?"/>
      </sharedItems>
    </cacheField>
    <cacheField name="UoM" numFmtId="0">
      <sharedItems containsBlank="1">
        <s v="-"/>
        <s v="GJ"/>
        <s v="kWh"/>
        <s v="KL"/>
        <s v="tonnes"/>
        <s v="tonneCO2e"/>
        <m/>
        <s v="mg/Nm3 or ppm"/>
      </sharedItems>
    </cacheField>
    <cacheField name="Current FY" numFmtId="0">
      <sharedItems>
        <s v="NA"/>
        <s v="XX"/>
      </sharedItems>
    </cacheField>
    <cacheField name="Previous FY" numFmtId="0">
      <sharedItems>
        <s v="NA"/>
        <s v="YY"/>
      </sharedItems>
    </cacheField>
    <cacheField name="Reference framework(s)" numFmtId="0">
      <sharedItems>
        <s v="BRSR, Ecovadis"/>
        <s v="Ecovadis"/>
        <s v="BRSR"/>
        <s v="General"/>
      </sharedItems>
    </cacheField>
    <cacheField name="BRSR Question#" numFmtId="0">
      <sharedItems containsBlank="1">
        <s v="SECTION B, Question 1 (P6)"/>
        <s v="PRINCIPLE 6, Leadership Indicators, Question 4"/>
        <s v="PRINCIPLE 6, Essential Indicators, Question 1&#10;"/>
        <s v="PRINCIPLE 6, Essential Indicators, Question 1(A,B,C)"/>
        <s v="PRINCIPLE 6, Essential Indicators, Question 1(E)&#10;"/>
        <s v="PRINCIPLE 6, Essential Indicators, Question 1(D)&#10;"/>
        <s v="PRINCIPLE 6, Essential Indicators, Question 1(A)&#10;"/>
        <s v="PRINCIPLE 6, Essential Indicators, Question 1 (Note on independent assessment)"/>
        <m/>
        <s v="PRINCIPLE 6, Essential Indicators, Question 5&#10;"/>
        <s v="PRINCIPLE 6, Essential Indicators, Question 3&#10;"/>
        <s v="PRINCIPLE 6, Essential Indicators, Question 4&#10;"/>
        <s v="PRINCIPLE 6, Essential Indicators, Question 3 &amp; 4 (Note on independent assessment)"/>
        <s v="PRINCIPLE 6, Essential Indicators, Question 4"/>
        <s v="PRINCIPLE 6, Essential Indicators, Question 10"/>
        <s v="PRINCIPLE 6, Essential Indicators, Question 9"/>
        <s v="PRINCIPLE 6, Essential Indicators, Question 9(A)"/>
        <s v="PRINCIPLE 6, Essential Indicators, Question 9(B)"/>
        <s v="PRINCIPLE 6, Essential Indicators, Question 9(C)"/>
        <s v="PRINCIPLE 6, Essential Indicators, Question 9(D)"/>
        <s v="PRINCIPLE 6, Essential Indicators, Question 9(E)"/>
        <s v="PRINCIPLE 6, Essential Indicators, Question 9(F)"/>
        <s v="PRINCIPLE 6, Essential Indicators, Question 9(G)"/>
        <s v="PRINCIPLE 6, Essential Indicators, Question 9 (Note on independent assessment)"/>
        <s v="SECTION B, Question 5 (P6)"/>
        <s v="PRINCIPLE 6, Essential Indicators, Question 7"/>
        <s v="PRINCIPLE 6, Leadership Indicators, Question 2"/>
        <s v="PRINCIPLE 6, Essential Indicators, Question 6"/>
        <s v="PRINCIPLE 6, Essential Indicators, Question 6 (Note on independent assessment)"/>
      </sharedItems>
    </cacheField>
    <cacheField name="Type of question (Radio, Text)" numFmtId="0">
      <sharedItems containsBlank="1">
        <m/>
        <s v="Text"/>
        <s v="Radio"/>
      </sharedItems>
    </cacheField>
    <cacheField name="Type of response required (Text, Yes/No, Numeric, Alphanumeric)" numFmtId="0">
      <sharedItems containsBlank="1">
        <m/>
        <s v="Numeric"/>
        <s v="Yes/No"/>
        <s v="Text"/>
      </sharedItems>
    </cacheField>
    <cacheField name="Response options for radio questions" numFmtId="0">
      <sharedItems containsBlank="1">
        <s v="1. We have a policy document on/covering energy management with qualitative objectives and quantitative targets mentionedl in the policy or elsehwere&#10;&#10;2. We have a policy document on/covering energy management with qualitative objectives but no quantitati"/>
        <s v="a) We provide training to employees on energy conservation and climate action&#10;b) We engage in purchase or generation of renewable energy&#10;c) We conduct energy audits&#10;d) We take actions to reduce energy consumption of lighting systems&#10;e) We take actions to "/>
        <m/>
        <s v="1. Yes, conducted through external agency&#10;2. No"/>
        <s v="-We have a captive plant on-site for self-consumption&#10;-We have a captive plant off-site for self-consumption&#10;-We have signed a power purchase agreement with an RE company for supply of green power&#10;-We purchase green power from power trading platforms&#10;-We "/>
        <s v="1. We have a policy document on/covering water management with qualitative objectives and quantitative targets mentioned in the policy or elsewhere&#10;&#10;2. We have a policy document on/covering water management with qualitative objectives but no quantitative "/>
        <s v="a) We provide training to employees on reduction of water consumption&#10;b) We take actions to reuse and recycle water within our operations&#10;c) We have implemented rainwater harvesting systems&#10;d) We have leak detection and repair programs in place&#10;e) We cond"/>
        <s v="1. Yes, conducted through external agency&#10;2. Yes, conducted through internal teams&#10;3. No"/>
        <s v="1. Yes&#10;2. No"/>
        <s v="1. We have a policy document on/covering waste management with qualitative objectives and quantitative targets mentioned in the policy or elsewhere&#10;&#10;2. We have a policy document on/covering waste management with qualitative objectives but no quantitative "/>
        <s v="a) We take actions to reduce material consumption through process optimization&#10;b) We use eco-friendly or bio-based input materials&#10;c) We take actions for labeling, storing, handling, and transporting hazardous substances&#10;d) We provide training to employee"/>
        <s v="1. We have a policy document on/covering GHG emissions management with qualitative objectives and quantitative targets mentioned in the policy or elsewhere&#10;&#10;2. We have a policy document on/covering GHG emissions management with qualitative objectives but "/>
        <s v="a) We purchase verified carbon offset credits&#10;b) We engage with suppliers based on their GHG reduction efforts/GHG emission intensity&#10;c) We take actions to reduce emissions from business travel, employee commuting&#10;d) We take actions to reduce emissions fr"/>
        <s v="a) We have an absolute scope 1 reduction target&#10;b) We have an absolute scope 2 reduction target&#10;c) We have an absolute scope 3 reduction target&#10;d) We have an intensity reduction target&#10;e) We have committed to setting science-based targets via SBTi&#10;f) We h"/>
        <s v="a) Our GHG inventory is designed in accordance with GHG protocol or other GHG accounting standards&#10;b) We update our inventory at least once per year&#10;c) Our GHG emissions report is publicly available&#10;d) We screen scope 3 categories to identify the most rel"/>
        <s v="1. Average data method&#10;2. Spend-based method&#10;3. Supplier specific factors used&#10;4. Hybrid (a combination of two or more methods)"/>
        <s v="1. We have a policy document on/covering prevention of air pollution with qualitative objectives and quantitative targets mentioned in the policy or elsewhere&#10;&#10;2. We have a policy document on/covering prevention of air pollution with qualitative objective"/>
        <s v="a) We provide training to employees on prevention of air pollution&#10;b) We have installed air pollution control equipment (e.g. scrubbers, filters, ESPs etc.)&#10;c) We have preventive maintenance plan in place to limit emissions&#10;d) We perform regular monitorin"/>
      </sharedItems>
    </cacheField>
    <cacheField name="Supporting Document" numFmtId="0">
      <sharedItems containsBlank="1">
        <s v="Policy Document"/>
        <s v="a) #Training material&#10;#Training record&#10;b) #Invoice&#10;#Contractual agreement&#10;c) #Energy audit report&#10;#Sustainability assurance statement&#10;d) #Lighting system installation records&#10;e) #HVAC system installation records&#10;f) # Annual Report&#10;# CSR/Sustainability Rep"/>
        <s v="# Internal record&#10;# Annual/Sustainability Report&#10;# Report provided by third party"/>
        <s v="# Annual/Sustainability Report&#10;# Report provided by third party"/>
        <m/>
        <s v="a) #Training material&#10;#Training record&#10;b) # Internal Record of ETP/STP/other&#10;c) # Rainwater harvesting system installation record&#10;d) # Internal Record of LDAR program&#10;e) # Water Risk Assessment document&#10;f) # Annual Report&#10;# CSR/Sustainability Report&#10;# Oth"/>
        <s v="a) # Program implementation records&#10;# Sustainability Report&#10;# Annual Report&#10;b) # Project Reports&#10;# Sustainability Report&#10;# Annual Report&#10;c) # Standard operating  procedures&#10;# Work instructions&#10;d) #Training material&#10;#Training record&#10;e) #Sustainability repo"/>
        <s v="a) #Invoice&#10;#Contractual agreement&#10;#Verification report for offset credits&#10;b) #Supplier recognition award for GHG emission reduction&#10;#Product specification document showing GHG emission intensity of product as requirement for purchase&#10;#Evidence of communi"/>
        <s v="a) # Internal target calculation document&#10;#Website screenshot&#10;#Annual or Sustainability report&#10;b) # Internal target calculation document&#10;#Website screenshot&#10;#Annual or Sustainability report&#10;c) # Internal target calculation document&#10;#Website screenshot&#10;#An"/>
        <s v="a) #GHG assurance statement&#10;#Internal GHG emission tracking portal or spreadsheet&#10;b) #Internal GHG emission tracking portal or spreadsheet&#10;#Annual or Sustainability report&#10;c) #Annual or Sustainability report&#10;# Screenshot of website/link to the report&#10;d) #"/>
        <s v="a) #Training material&#10;#Training record&#10;b) # Equipment installation record&#10;c) # PMP&#10;# SOP&#10;# Work Instruction&#10;d) # Stack emissions monitoring report&#10;# Third party report&#10;e) # EIA document&#10;# Risk assessment document&#10;f) # Emergency Response Plan&#10;# SOP&#10;# Work "/>
      </sharedItems>
    </cacheField>
    <cacheField name="Remarks / Comments" numFmtId="0">
      <sharedItems containsString="0" containsBlank="1">
        <m/>
      </sharedItems>
    </cacheField>
    <cacheField name="Score" numFmtId="0">
      <sharedItems>
        <s v="Option 1: 2&#10;Option 2: 1&#10;Option 3: 0"/>
        <s v="Max score: 6 (max score is obtained when all the options except the last two are selected)&#10;No score: 'No actions in place' and 'do not know'&#10;"/>
        <s v="Data filled for both years and improvement observed: 2&#10;Data filled for both years but no improvement observed: 1&#10;Data not filled for both years: 0"/>
        <s v="Option 1: 1&#10;Option 2: 0"/>
        <s v="Response provided: 1&#10;No response provided: 0"/>
        <s v="Max score: 6 (max score is obtained when all the options except the last two are selected)&#10;No score: 'No actions in place' and 'do not know'"/>
        <s v="Max score: 9 (max score is obtained when all the options except the last two are selected)&#10;No score: 'No actions in place' and 'do not know'&#10;"/>
        <s v="Max score: 4 (max score is obtained when all the options except the last two are selected)&#10;No score: 'No actions in place' and 'do not know'&#10;"/>
        <s v="Max score: 7 (max score is obtained when all the options except the last two are selected)&#10;No score: 'No actions in place' and 'do not know'&#10;"/>
        <s v="Max score: 8 (max score is obtained when all the options except the last two are selected)&#10;&#10;No score: 'No actions in place' and 'do not know'"/>
      </sharedItems>
    </cacheField>
    <cacheField name="Max score" numFmtId="0">
      <sharedItems containsSemiMixedTypes="0" containsString="0" containsNumber="1" containsInteger="1">
        <n v="2.0"/>
        <n v="6.0"/>
        <n v="1.0"/>
        <n v="9.0"/>
        <n v="4.0"/>
        <n v="7.0"/>
        <n v="8.0"/>
      </sharedItems>
    </cacheField>
    <cacheField name="Min score" numFmtId="0">
      <sharedItems containsSemiMixedTypes="0" containsString="0" containsNumber="1" containsInteger="1">
        <n v="0.0"/>
      </sharedItems>
    </cacheField>
    <cacheField name="Count" numFmtId="0">
      <sharedItems containsSemiMixedTypes="0" containsString="0" containsNumber="1" containsInteger="1">
        <n v="1.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58" sheet="Sheet8"/>
  </cacheSource>
  <cacheFields>
    <cacheField name="S.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sharedItems>
    </cacheField>
    <cacheField name="ESG" numFmtId="0">
      <sharedItems>
        <s v="Social"/>
      </sharedItems>
    </cacheField>
    <cacheField name="ESG Sub-category" numFmtId="0">
      <sharedItems>
        <s v="Employee Health and Safety"/>
        <s v="Employee Welfare"/>
        <s v="Social Dialogue"/>
        <s v="Employee Training and Development"/>
        <s v="Human Rights"/>
        <s v="Diversity and Equal Opportunity"/>
        <s v="Inclusive Development"/>
        <s v="Sustainable Procurement"/>
      </sharedItems>
    </cacheField>
    <cacheField name="Assessment Attribute" numFmtId="0">
      <sharedItems>
        <s v="Policy"/>
        <s v="Actions"/>
        <s v="Performance"/>
        <s v="Strategic"/>
        <s v="Strategic and linked to the previous question"/>
      </sharedItems>
    </cacheField>
    <cacheField name="Question statement" numFmtId="0">
      <sharedItems>
        <s v="Does the company have a policy on Employee Health and Safety?"/>
        <s v="What actions are in place regarding employee health and safety? Please select all that apply."/>
        <s v="Total number of lost time injuries occurring during the year"/>
        <s v="Total number of working hours during the year"/>
        <s v="Total number of fatalities during the year"/>
        <s v="Total number of permanent disabilities (high consequency injuries) during the year"/>
        <s v="Does the company have a policy on Working Conditions?"/>
        <s v="What actions are in place regarding working conditions? Please select all that apply."/>
        <s v="Do you provide health insurance benefits to your employees?"/>
        <s v="Do you provide accident insurance benefits to your employees?"/>
        <s v="Do you provide maternity benefits to your employees?"/>
        <s v="Do you provide paternity benefits to your employees?"/>
        <s v="Total cost incurred on providing the primary well-being measures for the current financial year (in INR)"/>
        <s v="Do you provide paid time-off to your employees?"/>
        <s v="Do you allow flexible working hours to your employees?"/>
        <s v="Do you provide retirement benefits to your employees?"/>
        <s v="Do you provide gym membership to your employees?"/>
        <s v="Do you provide pet friendly workspace for your employees?"/>
        <s v="Does the company have a policy on social dialogue?"/>
        <s v="Does the company have a policy on career management and training?"/>
        <s v="What actions are in place regarding career management &amp; training? Please select all that apply."/>
        <s v="Does the company have a policy on child labour, forced labour and human trafficking?"/>
        <s v="What actions are in place to prevent child labor, forced labor and human trafficking? Please select all that apply."/>
        <s v="Does the company have a policy on external stakeholder human rights?"/>
        <s v="What actions are in place regarding diversity, equity &amp; inclusion? Please select all that apply."/>
        <s v="Sum of wages paid to permanent employees"/>
        <s v="Sum of wages paid to non-permanent employees"/>
        <s v="Sum of wages paid to permanent workers"/>
        <s v="Sum of wages paid to non-permanent workers"/>
        <s v="Sum of wages paid to permanent female employees"/>
        <s v="Sum of wages paid to non-permanent female employees"/>
        <s v="Sum of wages paid to permanent female workers"/>
        <s v="Have you conducted audit/assurance of gross wages paid to employees and workers?"/>
        <s v="Mention the name of the auditor/assurance provider."/>
        <s v="Number of POSH complaints received during the year"/>
        <s v="Number of POSH complaints upheld during the year"/>
        <s v="Does the company have a policy on diversity, equity and inclusion?"/>
        <s v="Total sum of wages paid to employees employed in 'Rural' towns (Population: Upto 10,000)"/>
        <s v="Total sum of wages paid to employees employed in 'Semi-urban' towns (Population: 10,000 - 1,00,000)"/>
        <s v="Total sum of wages paid to employees employed in 'Urban' towns (Population: 1,00,000 - 10,00,000)"/>
        <s v="Total sum of wages paid to employees employed in 'Metropolitan' towns (Population: Over 10,00,000)"/>
        <s v="Total sum of wages paid to workers employed in 'Rural' towns (Population: Upto 10,000)"/>
        <s v="Total sum of wages paid to workers employed in 'Semi-urban' towns (Population: 10,000 - 1,00,000)"/>
        <s v="Total sum of wages paid to workers employed in 'Urban' towns (Population: 1,00,000 - 10,00,000)"/>
        <s v="Total sum of wages paid to workers employed in 'Metropolitan' towns (Population: Over 10,00,000)"/>
        <s v="Does the company have a policy for Sustainable Procurement on environmental issues?"/>
        <s v="Does the company have a policy for Sustainable Procurement on labour practices and human rights?"/>
        <s v="What actions are in place regarding the integration of social or environmental factors within procurement? Please select all that apply."/>
        <s v="Does the company have a supplier diversity program in place or other actions designed to advance diversity in the supply chain? Please select all that apply."/>
        <s v="Directly sourced from MSMEs - Total cost of procurement/purchases (raw material, spares, services, capex procurement etc.) by value "/>
        <s v="Directly sourced from within India - Total cost of procurement/purchases (raw material, spares, services, capex procurement etc.) by value "/>
        <s v="Percentage of targeted suppliers who have signed the supplier code of conduct"/>
        <s v="Percentage of targeted suppliers with contracts that include clauses on environmental, labor, and human rights requirements"/>
        <s v="Percentage or number of targeted suppliers covered by a CSR assessment"/>
        <s v="Percentage or number of targeted suppliers covered by a CSR on-site audit"/>
        <s v="Percentage or number of all buyers who received training on sustainable procurement"/>
        <s v="Percentage or number of audited or assessed suppliers engaged in corrective actions or capacity building"/>
      </sharedItems>
    </cacheField>
    <cacheField name="UoM" numFmtId="0">
      <sharedItems>
        <s v="-"/>
        <s v="Number"/>
        <s v="Number of hours"/>
        <s v="INR"/>
        <s v="Number in percentage"/>
      </sharedItems>
    </cacheField>
    <cacheField name="Current FY" numFmtId="0">
      <sharedItems containsBlank="1">
        <s v="NA"/>
        <m/>
      </sharedItems>
    </cacheField>
    <cacheField name="Previous FY" numFmtId="0">
      <sharedItems containsBlank="1">
        <s v="NA"/>
        <m/>
      </sharedItems>
    </cacheField>
    <cacheField name="Reference framework(s)" numFmtId="0">
      <sharedItems>
        <s v="BRSR/Ecovadis"/>
        <s v="Ecovadis"/>
        <s v="BRSR"/>
      </sharedItems>
    </cacheField>
    <cacheField name="Type of question (Radio, Text)" numFmtId="0">
      <sharedItems>
        <s v="Radio"/>
        <s v="Text"/>
      </sharedItems>
    </cacheField>
    <cacheField name="Type of response required (Text, Yes/No, Numeric, Alphanumeric)" numFmtId="0">
      <sharedItems>
        <s v="Yes/No"/>
        <s v="Text"/>
        <s v="Numeric"/>
      </sharedItems>
    </cacheField>
    <cacheField name="BRSR Question" numFmtId="0">
      <sharedItems containsBlank="1">
        <s v="SECTION B, Question 1 (P3)"/>
        <s v="PRINCIPLE 3, Essential Indicators, Question 10"/>
        <s v="PRINCIPLE 3, Essential Indicators, Question 11"/>
        <s v="PRINCIPLE 3, Essential Indicators, Question 15"/>
        <s v="PRINCIPLE 3, Essential Indicators, Question 1(a)"/>
        <s v="PRINCIPLE 3, Essential Indicators, Question 1(c)"/>
        <m/>
        <s v="PRINCIPLE 3, Essential Indicators, Question 2"/>
        <s v="PRINCIPLE 3, Essential Indicators, Question 8"/>
        <s v="SECTION B, Question 1 (P5)"/>
        <s v="PRINCIPLE 5, Essential Indicators, Question 10"/>
        <s v="SECTION B, Question 1 &amp; 3 (P5)"/>
        <s v="SECTION A, Question 21 &amp; PRINCIPLE 3, Question 4"/>
        <s v="PRINCIPLE 5, Essential Indicators, Question 2"/>
        <s v="PRINCIPLE 5, Essential Indicators, Question 7"/>
        <s v="SECTION B, Question 1 (P3 &amp; P5)"/>
        <s v="PRINCIPLE 8, Essential Indicators, Question 5"/>
        <s v="SECTION B, Question 1 (P6)"/>
        <s v="PRINCIPLE 2, Leadership Indicators, Question 2(a)"/>
        <s v="PRINCIPLE 8, Leadership Indicators, Question 3(a)"/>
        <s v="PRINCIPLE 8, Essential Indicators, Question 4"/>
      </sharedItems>
    </cacheField>
    <cacheField name="Response options for radio questions" numFmtId="0">
      <sharedItems>
        <s v="1. We have a policy document on/covering Employee Health and Safety with qualitative objectives and quantitative targets mentioned in the policy or elsewhere&#10;&#10;2. We have a policy document on/covering Employee Health and Safety with qualitative objectives "/>
        <s v="-We conduct Employee Health and Safety Risk Assessment&#10;-We have Health and Safety emergency action plan in place&#10;-We provide training to employees and workers on health and safety risks and good working practices&#10;-We provide regular health check-up benefi"/>
        <s v="-"/>
        <s v="1. We have a policy document on/covering Working Conditions with qualitative objectives and quantitative targets mentioned in the policy or elsewhere&#10;&#10;2. We have a policy document on/covering Working Conditions with qualitative objectives but no quantitat"/>
        <s v="-We provide compensation for extra or atypical working hours&#10;-We have implemented Family Friendly programs (FFPs) (e.g. parental or care leaves, childcare services or allowances)&#10;-We provide Flexible organization of work (eg. remote work, flexi-time)&#10;-We "/>
        <s v="1. Yes, to 100% of our employees&#10;2. Yes, to less than 100% of our employees&#10;3. No"/>
        <s v="1. We have a policy document on/covering Social Dialogue with qualitative objectives and quantitative targets mentioned in the policy or elsewhere&#10;&#10;2. We have a policy document on/covering Social Dialogue with qualitative objectives but no quantitative ta"/>
        <s v="1. We have a policy document on/covering career management and training with qualitative objectives and quantitative targets mentioned in the policy or elsewhere&#10;&#10;2. We have a policy document on/covering career management and training with qualitative obj"/>
        <s v="-We provide skill development training&#10;-We perform regular assessment of inividual performance&#10;-We conduct formal discussions with employees on their career development&#10;-We take actions to promote internal mobility&#10;-We take other actions to promote career"/>
        <s v="1. We have a policy document on/covering child labour, forced labour and human trafficking with qualitative objectives and quantitative targets mentioned in the policy or elsewhere&#10;&#10;2. We have a policy document on/covering child labour, forced labour and "/>
        <s v="-We perform risk assessments to identify operations exposed to potential child labour, forced labour and human trafficking&#10;-We provide awareness training on child labour, forced labour and human trafficking&#10;-We have an age verification procedure of candid"/>
        <s v="1. We have a policy document on/covering external stakeholder human rights with qualitative objectives and quantitative targets mentioned in the policy or elsewhere&#10;&#10;2. We have a policy document on/covering external stakeholder human rights with qualitati"/>
        <s v="-We take actions to prevent discrimination during the recruitment phase&#10;-We take actions to prevent discrimination durinf professional development and promotion process&#10;-We provide awareness training on diversity, equity and/or harassment issues&#10;-We take "/>
        <s v="1. Yes, by external agency&#10;2. No"/>
        <s v="1. We have a policy document on/covering diversity, equity and inclusion with qualitative objectives and quantitative targets mentioned in the policy or elsewhere&#10;&#10;2. We have a policy document on/covering diversity, equity and inclusion with qualitative o"/>
        <s v="1. We have a policy document for/covering Sustainable Procurement on environmental issues with qualitative objectives and quantitative targets mentioned in the policy or elsewhere&#10;&#10;2. We have a policy document for/covering Sustainable Procurement on envir"/>
        <s v="1. We have a policy document for/covering Sustainable Procurement on labour practices and human rights  with qualitative objectives and quantitative targets mentioned in the policy or elsewhere&#10;&#10;2. We have a policy document for/covering Sustainable Procur"/>
        <s v="-We have a Supplier Sustainability Code of Conduct in place&#10;-We have integrated social and/or environmental clauses into supplier contracts&#10;-We perform sustainability risk analysis prior to supplier assessments or audits&#10;-We conduct supplier assessment on"/>
        <s v="-We take actions to work with women-owned businesses in the supply chain&#10;-We take actions to work with businesses owned by minorities/vulnerable groups in the supply chain&#10;-We take actions to advance diversity, equity and inclusion in the workforce of sup"/>
      </sharedItems>
    </cacheField>
    <cacheField name="Supporting Document" numFmtId="0">
      <sharedItems containsBlank="1">
        <s v="Policy Document"/>
        <m/>
        <s v="# Internal record&#10;# Annual/Sustainability Report&#10;# Report provided by third party"/>
      </sharedItems>
    </cacheField>
    <cacheField name="Remarks" numFmtId="0">
      <sharedItems containsString="0" containsBlank="1">
        <m/>
      </sharedItems>
    </cacheField>
    <cacheField name="Scoring Scheme" numFmtId="0">
      <sharedItems>
        <s v="Option 1: 2&#10;Option 2: 1&#10;Option 3: 0"/>
        <s v="Max score: 6 (max score is obtained when all the options except the last two are selected)&#10;No score: 'No actions in place' and 'do not know'&#10;"/>
        <s v="Data filled for both years and improvement observed: 2&#10;Data filled for both years but no improvement observed: 1&#10;Data not filled for both years: 0"/>
        <s v="Max score: 7 (max score is obtained when all the options except the last two are selected)&#10;No score: 'No actions in place' and 'do not know'&#10;"/>
        <s v="Max score: 5 (max score is obtained when all the options except the last two are selected)&#10;No score: 'No actions in place' and 'do not know'&#10;"/>
        <s v="Max score: 10 (max score is obtained when all the options except the last two are selected)&#10;No score: 'No actions in place' and 'do not know'&#10;"/>
        <s v="Option 1: 1&#10;Option 2: 0"/>
        <s v="No score assigned"/>
        <s v="Max score: 9 (max score is obtained when all the options except the last two are selected)&#10;No score: 'No actions in place' and 'do not know'&#10;"/>
        <s v="Max score: 4 (max score is obtained when all the options except the last two are selected)&#10;No score: 'No actions in place' and 'do not know'&#10;"/>
      </sharedItems>
    </cacheField>
    <cacheField name="Max Score" numFmtId="0">
      <sharedItems containsSemiMixedTypes="0" containsString="0" containsNumber="1" containsInteger="1">
        <n v="2.0"/>
        <n v="6.0"/>
        <n v="7.0"/>
        <n v="5.0"/>
        <n v="10.0"/>
        <n v="1.0"/>
        <n v="0.0"/>
        <n v="9.0"/>
        <n v="4.0"/>
      </sharedItems>
    </cacheField>
    <cacheField name="Min Score" numFmtId="0">
      <sharedItems containsSemiMixedTypes="0" containsString="0" containsNumber="1" containsInteger="1">
        <n v="0.0"/>
      </sharedItems>
    </cacheField>
    <cacheField name="Supporting Document 2" numFmtId="0">
      <sharedItems containsBlank="1">
        <s v="Policy Document"/>
        <m/>
        <s v="# Internal record&#10;# Annual/Sustainability Report&#10;# Report provided by third party"/>
      </sharedItems>
    </cacheField>
    <cacheField name="Count" numFmtId="0">
      <sharedItems containsSemiMixedTypes="0" containsString="0" containsNumber="1" containsInteger="1">
        <n v="1.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38" sheet="Sheet9"/>
  </cacheSource>
  <cacheFields>
    <cacheField name="S.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sharedItems>
    </cacheField>
    <cacheField name="ESG" numFmtId="0">
      <sharedItems>
        <s v="Governance"/>
      </sharedItems>
    </cacheField>
    <cacheField name="ESG Sub-category" numFmtId="0">
      <sharedItems>
        <s v="Ethics"/>
        <s v="Fair trade practices"/>
        <s v="Disclosure"/>
        <s v="Board Diversity"/>
        <s v="General"/>
        <s v="Materiality"/>
        <s v="Risk Assessment"/>
      </sharedItems>
    </cacheField>
    <cacheField name="Assessment Attribute" numFmtId="0">
      <sharedItems>
        <s v="Policy"/>
        <s v="Actions"/>
        <s v="Perfomance"/>
        <s v="Strategic"/>
      </sharedItems>
    </cacheField>
    <cacheField name="Question statement" numFmtId="0">
      <sharedItems>
        <s v="Does the company have a policy on bribery?"/>
        <s v="Does the company have a policy on conflict of interest?"/>
        <s v="Does the company have a policy on fraud?"/>
        <s v="Does the company have a policy on money laundering?"/>
        <s v="Does the company have a policy on information security?"/>
        <s v="What actions are in place to prevent corruption and bribery?"/>
        <s v="What actions are in place regarding information security?"/>
        <s v="Percentage of employees trained on ethics"/>
        <s v="Number of reports related to whistleblower procedure"/>
        <s v="Number of confirmed corruption incidents"/>
        <s v="Number of instances of information security incidents including data breaches"/>
        <s v="Number of instance of data breach involving loss of personally identifiable information of customers"/>
        <s v="Total accounts payable"/>
        <s v="Total cost of goods/services procured"/>
        <s v="Total purchases (all types of procurement such as raw&#10;material, spares, services, capex procurement&#10;items etc. ) made by value"/>
        <s v="Total purchases from trading houses"/>
        <s v="Total number of trading houses where purchases were made"/>
        <s v="Total purchases from top 10 trading houses"/>
        <s v="Total sales"/>
        <s v="Total sales to dealers/distributors"/>
        <s v="Total number of dealers/distributors to whom sales were made"/>
        <s v="Total sales to top 10 dealers/distributors"/>
        <s v="Total purchases with related parties"/>
        <s v="Total sales to related parties"/>
        <s v="Total loans and advances made during the year"/>
        <s v="Total loans and advances to related parties"/>
        <s v="Total investments made during the year"/>
        <s v="Total investments made to related parties"/>
        <s v="Does the company publicly report its sustainability disclosures in accordance with nationally or globally recognized ESG frameworks e.g. BRSR, GRI, SASB, TCFD etc.?"/>
        <s v="Does the company employ external assurance providers to conduct assurance for its sustainability reporting?"/>
        <s v="Does the company have a independence statement for the board of directors?"/>
        <s v="Does the company have a formal policy on board diversity in place?"/>
        <s v="Percentage of women representatives on board"/>
        <s v="Ratio of compensation of the highest level executive of the company to the median compensation of all the employees excluding the highest level executive"/>
        <s v="Does the company have board level or executive level oversight on ESG/Sustainability issues?"/>
        <s v="Does the company conduct formal materiality assessment to idenitfy material issues that have the most impact on their business?"/>
        <s v="Does the company have risk management processes and strategies to promote an effective risk culture?"/>
      </sharedItems>
    </cacheField>
    <cacheField name="UoM" numFmtId="0">
      <sharedItems containsBlank="1">
        <s v="-"/>
        <s v="Number in percentage"/>
        <s v="Number"/>
        <s v="INR"/>
        <m/>
      </sharedItems>
    </cacheField>
    <cacheField name="Current FY" numFmtId="0">
      <sharedItems containsBlank="1">
        <s v="NA"/>
        <s v="XX"/>
        <m/>
      </sharedItems>
    </cacheField>
    <cacheField name="Previous FY" numFmtId="0">
      <sharedItems containsBlank="1">
        <s v="NA"/>
        <s v="YY"/>
        <m/>
      </sharedItems>
    </cacheField>
    <cacheField name="Reference framework(s)" numFmtId="0">
      <sharedItems>
        <s v="Ecovadis"/>
        <s v="BRSR/Ecovadis"/>
        <s v="BRSR"/>
        <s v="DJSI"/>
        <s v="BRSR/DJSI"/>
      </sharedItems>
    </cacheField>
    <cacheField name="Question ID" numFmtId="0">
      <sharedItems containsBlank="1">
        <m/>
        <s v="PRINCIPLE 9, Essential Indicators, Question 7(a)"/>
        <s v="PRINCIPLE 9, Essential Indicators, Question 7(b)"/>
        <s v="PRINCIPLE 1, Essential Indicators, Question 8"/>
        <s v="PRINCIPLE 1, Essential Indicators, Question 9"/>
        <s v="SECTION A: GENERAL DISCLOSURES, Question 21"/>
      </sharedItems>
    </cacheField>
    <cacheField name="Type of question (Radio, Text)" numFmtId="0">
      <sharedItems>
        <s v="Radio"/>
        <s v="Text"/>
      </sharedItems>
    </cacheField>
    <cacheField name="Type of response required (Text, Yes/No, Numeric, Alphanumeric)" numFmtId="0">
      <sharedItems>
        <s v="Yes/No"/>
        <s v="Text"/>
        <s v="Numeric"/>
      </sharedItems>
    </cacheField>
    <cacheField name="Response options for radio questions" numFmtId="0">
      <sharedItems>
        <s v="-We have a policy document on/covering bribery with qualitative objectives and quantitatives targets mentioned in the policy or elsewhere&#10;-We have a policy document on/covering bribery with qualitative objectives but no quantitatives targets mentioned in "/>
        <s v="-We have a policy document on/covering conflict of interest with qualitative objectives and quantitatives targets mentioned in the policy or elsewhere&#10;-We have a policy document on/covering conflict of interest with qualitative objectives but no quantitat"/>
        <s v="-We have a policy document on/covering fraud with qualitative objectives and quantitatives targets mentioned in the policy or elsewhere&#10;-We have a policy document on/covering fraud with qualitative objectives but no quantitatives targets mentioned in the "/>
        <s v="-We have a policy document on/covering money laundering with qualitative objectives and quantitatives targets mentioned in the policy or elsewhere&#10;-We have a policy document on/covering money laundering with qualitative objectives but no quantitatives tar"/>
        <s v="-We have a policy document on/covering information security with qualitative objectives and quantitatives targets mentioned in the policy or elsewhere&#10;-We have a policy document on/covering information security with qualitative objectives but no quantitat"/>
        <s v="-We provide awareness training to prevent corruption and bribery&#10;-We have a whistleblower procedure in place to report corruption and bribery&#10;-We perform corruption risk assessments&#10;-We have a specific approval procedure in place for sensitive transaction"/>
        <s v="-We provide awareness training to prevent information security breaches&#10;-We have a whistleblower procedure in place for stakeholders to report information security concerns&#10;-We perform information security risk assessments&#10;-We have an Incident Response Pl"/>
        <s v="-"/>
        <s v="-Yes&#10;-No"/>
        <s v="-Yes and it is publicly available&#10;-Yes but it is not publicly available&#10;-No"/>
        <s v="-Yes, by external agency&#10;-Yes, by internal teams&#10;-No"/>
      </sharedItems>
    </cacheField>
    <cacheField name="Remarks" numFmtId="0">
      <sharedItems containsString="0" containsBlank="1">
        <m/>
      </sharedItems>
    </cacheField>
    <cacheField name="Scoring scheme" numFmtId="0">
      <sharedItems>
        <s v="Option 1: 2&#10;Option 2: 1&#10;Option 3: 0"/>
        <s v="Max score: 5 (max score is obtained when all the options except the last two are selected)&#10;No score: 'No actions in place' and 'do not know'&#10;"/>
        <s v="Max score: 8 (max score is obtained when all the options except the last two are selected)&#10;No score: 'No actions in place' and 'do not know'&#10;"/>
        <s v="Data filled for both years and improvement observed: 2&#10;Data filled for both years but no improvement observed: 1&#10;Data not filled for both years: 0"/>
        <s v="Option 1: 1&#10;Option 2: 0"/>
      </sharedItems>
    </cacheField>
    <cacheField name="Max score" numFmtId="0">
      <sharedItems containsSemiMixedTypes="0" containsString="0" containsNumber="1" containsInteger="1">
        <n v="2.0"/>
        <n v="5.0"/>
        <n v="8.0"/>
        <n v="1.0"/>
      </sharedItems>
    </cacheField>
    <cacheField name="Supporting Document" numFmtId="0">
      <sharedItems containsBlank="1">
        <s v="Policy Document"/>
        <m/>
      </sharedItems>
    </cacheField>
    <cacheField name="Count" numFmtId="0">
      <sharedItems containsSemiMixedTypes="0" containsString="0" containsNumber="1" containsInteger="1">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Marking scheme - Basic" cacheId="0" dataCaption="" compact="0" compactData="0">
  <location ref="A1:D6" firstHeaderRow="0" firstDataRow="1" firstDataCol="1"/>
  <pivotFields>
    <pivotField name="S.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SG" axis="axisRow" compact="0" outline="0" multipleItemSelectionAllowed="1" showAll="0" sortType="ascending">
      <items>
        <item x="0"/>
        <item x="2"/>
        <item x="1"/>
        <item t="default"/>
      </items>
    </pivotField>
    <pivotField name="ESG Sub-category" compact="0" outline="0" multipleItemSelectionAllowed="1" showAll="0">
      <items>
        <item x="0"/>
        <item x="1"/>
        <item x="2"/>
        <item x="3"/>
        <item x="4"/>
        <item x="5"/>
        <item x="6"/>
        <item x="7"/>
        <item x="8"/>
        <item x="9"/>
        <item x="10"/>
        <item x="11"/>
        <item x="12"/>
        <item x="13"/>
        <item x="14"/>
        <item x="15"/>
        <item x="16"/>
        <item x="17"/>
        <item t="default"/>
      </items>
    </pivotField>
    <pivotField name="Question stat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ore/Strategic" axis="axisCol" dataField="1" compact="0" outline="0" multipleItemSelectionAllowed="1" showAll="0" sortType="ascending">
      <items>
        <item x="0"/>
        <item x="1"/>
        <item t="default"/>
      </items>
    </pivotField>
    <pivotField name="Type of question (Standalone, linked)" compact="0" outline="0" multipleItemSelectionAllowed="1" showAll="0">
      <items>
        <item x="0"/>
        <item x="1"/>
        <item t="default"/>
      </items>
    </pivotField>
    <pivotField name="Response options for radio questions" compact="0" outline="0" multipleItemSelectionAllowed="1" showAll="0">
      <items>
        <item x="0"/>
        <item x="1"/>
        <item x="2"/>
        <item x="3"/>
        <item x="4"/>
        <item x="5"/>
        <item x="6"/>
        <item x="7"/>
        <item x="8"/>
        <item x="9"/>
        <item x="10"/>
        <item t="default"/>
      </items>
    </pivotField>
    <pivotField name="Evidence requi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core" compact="0" outline="0" multipleItemSelectionAllowed="1" showAll="0">
      <items>
        <item x="0"/>
        <item x="1"/>
        <item x="2"/>
        <item t="default"/>
      </items>
    </pivotField>
    <pivotField name="Remarks by the responder" compact="0" outline="0" multipleItemSelectionAllowed="1" showAll="0">
      <items>
        <item x="0"/>
        <item t="default"/>
      </items>
    </pivotField>
    <pivotField name="Guidelines for strategic questions" compact="0" outline="0" multipleItemSelectionAllowed="1" showAll="0">
      <items>
        <item x="0"/>
        <item x="1"/>
        <item t="default"/>
      </items>
    </pivotField>
  </pivotFields>
  <rowFields>
    <field x="1"/>
  </rowFields>
  <colFields>
    <field x="4"/>
  </colFields>
  <dataFields>
    <dataField name="COUNTA of Core/Strategic" fld="4" subtotal="count" baseField="0"/>
  </dataFields>
</pivotTableDefinition>
</file>

<file path=xl/pivotTables/pivotTable2.xml><?xml version="1.0" encoding="utf-8"?>
<pivotTableDefinition xmlns="http://schemas.openxmlformats.org/spreadsheetml/2006/main" name="Scoring methodology - Advanced" cacheId="1" dataCaption="" compact="0" compactData="0">
  <location ref="F3:H8" firstHeaderRow="0" firstDataRow="2" firstDataCol="0"/>
  <pivotFields>
    <pivotField name="S.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ESG" compact="0" outline="0" multipleItemSelectionAllowed="1" showAll="0">
      <items>
        <item x="0"/>
        <item t="default"/>
      </items>
    </pivotField>
    <pivotField name="ESG Sub-category" compact="0" outline="0" multipleItemSelectionAllowed="1" showAll="0">
      <items>
        <item x="0"/>
        <item x="1"/>
        <item x="2"/>
        <item x="3"/>
        <item x="4"/>
        <item x="5"/>
        <item t="default"/>
      </items>
    </pivotField>
    <pivotField name="Assessment attibute" axis="axisRow" compact="0" outline="0" multipleItemSelectionAllowed="1" showAll="0" sortType="ascending">
      <items>
        <item x="1"/>
        <item x="2"/>
        <item x="0"/>
        <item x="3"/>
        <item t="default"/>
      </items>
    </pivotField>
    <pivotField name="Question stat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UoM" compact="0" outline="0" multipleItemSelectionAllowed="1" showAll="0">
      <items>
        <item x="0"/>
        <item x="1"/>
        <item x="2"/>
        <item x="3"/>
        <item x="4"/>
        <item x="5"/>
        <item x="6"/>
        <item x="7"/>
        <item t="default"/>
      </items>
    </pivotField>
    <pivotField name="Current FY" compact="0" outline="0" multipleItemSelectionAllowed="1" showAll="0">
      <items>
        <item x="0"/>
        <item x="1"/>
        <item t="default"/>
      </items>
    </pivotField>
    <pivotField name="Previous FY" compact="0" outline="0" multipleItemSelectionAllowed="1" showAll="0">
      <items>
        <item x="0"/>
        <item x="1"/>
        <item t="default"/>
      </items>
    </pivotField>
    <pivotField name="Reference framework(s)" compact="0" outline="0" multipleItemSelectionAllowed="1" showAll="0">
      <items>
        <item x="0"/>
        <item x="1"/>
        <item x="2"/>
        <item x="3"/>
        <item t="default"/>
      </items>
    </pivotField>
    <pivotField name="BRSR Ques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Type of question (Radio, Text)" compact="0" outline="0" multipleItemSelectionAllowed="1" showAll="0">
      <items>
        <item x="0"/>
        <item x="1"/>
        <item x="2"/>
        <item t="default"/>
      </items>
    </pivotField>
    <pivotField name="Type of response required (Text, Yes/No, Numeric, Alphanumeric)" compact="0" outline="0" multipleItemSelectionAllowed="1" showAll="0">
      <items>
        <item x="0"/>
        <item x="1"/>
        <item x="2"/>
        <item x="3"/>
        <item t="default"/>
      </items>
    </pivotField>
    <pivotField name="Response options for radio questions" compact="0" outline="0" multipleItemSelectionAllowed="1" showAll="0">
      <items>
        <item x="0"/>
        <item x="1"/>
        <item x="2"/>
        <item x="3"/>
        <item x="4"/>
        <item x="5"/>
        <item x="6"/>
        <item x="7"/>
        <item x="8"/>
        <item x="9"/>
        <item x="10"/>
        <item x="11"/>
        <item x="12"/>
        <item x="13"/>
        <item x="14"/>
        <item x="15"/>
        <item x="16"/>
        <item x="17"/>
        <item t="default"/>
      </items>
    </pivotField>
    <pivotField name="Supporting Document" compact="0" outline="0" multipleItemSelectionAllowed="1" showAll="0">
      <items>
        <item x="0"/>
        <item x="1"/>
        <item x="2"/>
        <item x="3"/>
        <item x="4"/>
        <item x="5"/>
        <item x="6"/>
        <item x="7"/>
        <item x="8"/>
        <item x="9"/>
        <item x="10"/>
        <item t="default"/>
      </items>
    </pivotField>
    <pivotField name="Remarks / Comments" compact="0" outline="0" multipleItemSelectionAllowed="1" showAll="0">
      <items>
        <item x="0"/>
        <item t="default"/>
      </items>
    </pivotField>
    <pivotField name="Score" compact="0" outline="0" multipleItemSelectionAllowed="1" showAll="0">
      <items>
        <item x="0"/>
        <item x="1"/>
        <item x="2"/>
        <item x="3"/>
        <item x="4"/>
        <item x="5"/>
        <item x="6"/>
        <item x="7"/>
        <item x="8"/>
        <item x="9"/>
        <item t="default"/>
      </items>
    </pivotField>
    <pivotField name="Max score" dataField="1" compact="0" outline="0" multipleItemSelectionAllowed="1" showAll="0">
      <items>
        <item x="0"/>
        <item x="1"/>
        <item x="2"/>
        <item x="3"/>
        <item x="4"/>
        <item x="5"/>
        <item x="6"/>
        <item t="default"/>
      </items>
    </pivotField>
    <pivotField name="Min score" compact="0" outline="0" multipleItemSelectionAllowed="1" showAll="0">
      <items>
        <item x="0"/>
        <item t="default"/>
      </items>
    </pivotField>
    <pivotField name="Count" dataField="1" compact="0" outline="0" multipleItemSelectionAllowed="1" showAll="0">
      <items>
        <item x="0"/>
        <item t="default"/>
      </items>
    </pivotField>
  </pivotFields>
  <rowFields>
    <field x="3"/>
  </rowFields>
  <colFields>
    <field x="-2"/>
  </colFields>
  <dataFields>
    <dataField name="SUM of Max score" fld="16" baseField="0"/>
    <dataField name="SUM of Count" fld="18" baseField="0"/>
  </dataFields>
</pivotTableDefinition>
</file>

<file path=xl/pivotTables/pivotTable3.xml><?xml version="1.0" encoding="utf-8"?>
<pivotTableDefinition xmlns="http://schemas.openxmlformats.org/spreadsheetml/2006/main" name="Scoring methodology - Advanced 2" cacheId="2" dataCaption="" compact="0" compactData="0">
  <location ref="F11:H17" firstHeaderRow="0" firstDataRow="2" firstDataCol="0"/>
  <pivotFields>
    <pivotField name="S.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ESG" compact="0" outline="0" multipleItemSelectionAllowed="1" showAll="0">
      <items>
        <item x="0"/>
        <item t="default"/>
      </items>
    </pivotField>
    <pivotField name="ESG Sub-category" compact="0" outline="0" multipleItemSelectionAllowed="1" showAll="0">
      <items>
        <item x="0"/>
        <item x="1"/>
        <item x="2"/>
        <item x="3"/>
        <item x="4"/>
        <item x="5"/>
        <item x="6"/>
        <item x="7"/>
        <item t="default"/>
      </items>
    </pivotField>
    <pivotField name="Assessment Attribute" axis="axisRow" compact="0" outline="0" multipleItemSelectionAllowed="1" showAll="0" sortType="ascending">
      <items>
        <item x="1"/>
        <item x="2"/>
        <item x="0"/>
        <item x="3"/>
        <item x="4"/>
        <item t="default"/>
      </items>
    </pivotField>
    <pivotField name="Question stat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UoM" compact="0" outline="0" multipleItemSelectionAllowed="1" showAll="0">
      <items>
        <item x="0"/>
        <item x="1"/>
        <item x="2"/>
        <item x="3"/>
        <item x="4"/>
        <item t="default"/>
      </items>
    </pivotField>
    <pivotField name="Current FY" compact="0" outline="0" multipleItemSelectionAllowed="1" showAll="0">
      <items>
        <item x="0"/>
        <item x="1"/>
        <item t="default"/>
      </items>
    </pivotField>
    <pivotField name="Previous FY" compact="0" outline="0" multipleItemSelectionAllowed="1" showAll="0">
      <items>
        <item x="0"/>
        <item x="1"/>
        <item t="default"/>
      </items>
    </pivotField>
    <pivotField name="Reference framework(s)" compact="0" outline="0" multipleItemSelectionAllowed="1" showAll="0">
      <items>
        <item x="0"/>
        <item x="1"/>
        <item x="2"/>
        <item t="default"/>
      </items>
    </pivotField>
    <pivotField name="Type of question (Radio, Text)" compact="0" outline="0" multipleItemSelectionAllowed="1" showAll="0">
      <items>
        <item x="0"/>
        <item x="1"/>
        <item t="default"/>
      </items>
    </pivotField>
    <pivotField name="Type of response required (Text, Yes/No, Numeric, Alphanumeric)" compact="0" outline="0" multipleItemSelectionAllowed="1" showAll="0">
      <items>
        <item x="0"/>
        <item x="1"/>
        <item x="2"/>
        <item t="default"/>
      </items>
    </pivotField>
    <pivotField name="BRSR Questio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sponse options for radio questions" compact="0" outline="0" multipleItemSelectionAllowed="1" showAll="0">
      <items>
        <item x="0"/>
        <item x="1"/>
        <item x="2"/>
        <item x="3"/>
        <item x="4"/>
        <item x="5"/>
        <item x="6"/>
        <item x="7"/>
        <item x="8"/>
        <item x="9"/>
        <item x="10"/>
        <item x="11"/>
        <item x="12"/>
        <item x="13"/>
        <item x="14"/>
        <item x="15"/>
        <item x="16"/>
        <item x="17"/>
        <item x="18"/>
        <item t="default"/>
      </items>
    </pivotField>
    <pivotField name="Supporting Document" compact="0" outline="0" multipleItemSelectionAllowed="1" showAll="0">
      <items>
        <item x="0"/>
        <item x="1"/>
        <item x="2"/>
        <item t="default"/>
      </items>
    </pivotField>
    <pivotField name="Remarks" compact="0" outline="0" multipleItemSelectionAllowed="1" showAll="0">
      <items>
        <item x="0"/>
        <item t="default"/>
      </items>
    </pivotField>
    <pivotField name="Scoring Scheme" compact="0" outline="0" multipleItemSelectionAllowed="1" showAll="0">
      <items>
        <item x="0"/>
        <item x="1"/>
        <item x="2"/>
        <item x="3"/>
        <item x="4"/>
        <item x="5"/>
        <item x="6"/>
        <item x="7"/>
        <item x="8"/>
        <item x="9"/>
        <item t="default"/>
      </items>
    </pivotField>
    <pivotField name="Max Score" dataField="1" compact="0" outline="0" multipleItemSelectionAllowed="1" showAll="0">
      <items>
        <item x="0"/>
        <item x="1"/>
        <item x="2"/>
        <item x="3"/>
        <item x="4"/>
        <item x="5"/>
        <item x="6"/>
        <item x="7"/>
        <item x="8"/>
        <item t="default"/>
      </items>
    </pivotField>
    <pivotField name="Min Score" compact="0" outline="0" multipleItemSelectionAllowed="1" showAll="0">
      <items>
        <item x="0"/>
        <item t="default"/>
      </items>
    </pivotField>
    <pivotField name="Supporting Document 2" compact="0" outline="0" multipleItemSelectionAllowed="1" showAll="0">
      <items>
        <item x="0"/>
        <item x="1"/>
        <item x="2"/>
        <item t="default"/>
      </items>
    </pivotField>
    <pivotField name="Count" dataField="1" compact="0" outline="0" multipleItemSelectionAllowed="1" showAll="0">
      <items>
        <item x="0"/>
        <item t="default"/>
      </items>
    </pivotField>
  </pivotFields>
  <rowFields>
    <field x="3"/>
  </rowFields>
  <colFields>
    <field x="-2"/>
  </colFields>
  <dataFields>
    <dataField name="SUM of Max Score" fld="16" baseField="0"/>
    <dataField name="SUM of Count" fld="19" baseField="0"/>
  </dataFields>
</pivotTableDefinition>
</file>

<file path=xl/pivotTables/pivotTable4.xml><?xml version="1.0" encoding="utf-8"?>
<pivotTableDefinition xmlns="http://schemas.openxmlformats.org/spreadsheetml/2006/main" name="Scoring methodology - Advanced 3" cacheId="3" dataCaption="" compact="0" compactData="0">
  <location ref="F20:H25" firstHeaderRow="0" firstDataRow="2" firstDataCol="0"/>
  <pivotFields>
    <pivotField name="S.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ESG" compact="0" outline="0" multipleItemSelectionAllowed="1" showAll="0">
      <items>
        <item x="0"/>
        <item t="default"/>
      </items>
    </pivotField>
    <pivotField name="ESG Sub-category" compact="0" outline="0" multipleItemSelectionAllowed="1" showAll="0">
      <items>
        <item x="0"/>
        <item x="1"/>
        <item x="2"/>
        <item x="3"/>
        <item x="4"/>
        <item x="5"/>
        <item x="6"/>
        <item t="default"/>
      </items>
    </pivotField>
    <pivotField name="Assessment Attribute" axis="axisRow" compact="0" outline="0" multipleItemSelectionAllowed="1" showAll="0" sortType="ascending">
      <items>
        <item x="1"/>
        <item x="2"/>
        <item x="0"/>
        <item x="3"/>
        <item t="default"/>
      </items>
    </pivotField>
    <pivotField name="Question stat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UoM" compact="0" outline="0" multipleItemSelectionAllowed="1" showAll="0">
      <items>
        <item x="0"/>
        <item x="1"/>
        <item x="2"/>
        <item x="3"/>
        <item x="4"/>
        <item t="default"/>
      </items>
    </pivotField>
    <pivotField name="Current FY" compact="0" outline="0" multipleItemSelectionAllowed="1" showAll="0">
      <items>
        <item x="0"/>
        <item x="1"/>
        <item x="2"/>
        <item t="default"/>
      </items>
    </pivotField>
    <pivotField name="Previous FY" compact="0" outline="0" multipleItemSelectionAllowed="1" showAll="0">
      <items>
        <item x="0"/>
        <item x="1"/>
        <item x="2"/>
        <item t="default"/>
      </items>
    </pivotField>
    <pivotField name="Reference framework(s)" compact="0" outline="0" multipleItemSelectionAllowed="1" showAll="0">
      <items>
        <item x="0"/>
        <item x="1"/>
        <item x="2"/>
        <item x="3"/>
        <item x="4"/>
        <item t="default"/>
      </items>
    </pivotField>
    <pivotField name="Question ID" compact="0" outline="0" multipleItemSelectionAllowed="1" showAll="0">
      <items>
        <item x="0"/>
        <item x="1"/>
        <item x="2"/>
        <item x="3"/>
        <item x="4"/>
        <item x="5"/>
        <item t="default"/>
      </items>
    </pivotField>
    <pivotField name="Type of question (Radio, Text)" compact="0" outline="0" multipleItemSelectionAllowed="1" showAll="0">
      <items>
        <item x="0"/>
        <item x="1"/>
        <item t="default"/>
      </items>
    </pivotField>
    <pivotField name="Type of response required (Text, Yes/No, Numeric, Alphanumeric)" compact="0" outline="0" multipleItemSelectionAllowed="1" showAll="0">
      <items>
        <item x="0"/>
        <item x="1"/>
        <item x="2"/>
        <item t="default"/>
      </items>
    </pivotField>
    <pivotField name="Response options for radio questions" compact="0" outline="0" multipleItemSelectionAllowed="1" showAll="0">
      <items>
        <item x="0"/>
        <item x="1"/>
        <item x="2"/>
        <item x="3"/>
        <item x="4"/>
        <item x="5"/>
        <item x="6"/>
        <item x="7"/>
        <item x="8"/>
        <item x="9"/>
        <item x="10"/>
        <item t="default"/>
      </items>
    </pivotField>
    <pivotField name="Remarks" compact="0" outline="0" multipleItemSelectionAllowed="1" showAll="0">
      <items>
        <item x="0"/>
        <item t="default"/>
      </items>
    </pivotField>
    <pivotField name="Scoring scheme" compact="0" outline="0" multipleItemSelectionAllowed="1" showAll="0">
      <items>
        <item x="0"/>
        <item x="1"/>
        <item x="2"/>
        <item x="3"/>
        <item x="4"/>
        <item t="default"/>
      </items>
    </pivotField>
    <pivotField name="Max score" dataField="1" compact="0" outline="0" multipleItemSelectionAllowed="1" showAll="0">
      <items>
        <item x="0"/>
        <item x="1"/>
        <item x="2"/>
        <item x="3"/>
        <item t="default"/>
      </items>
    </pivotField>
    <pivotField name="Supporting Document" compact="0" outline="0" multipleItemSelectionAllowed="1" showAll="0">
      <items>
        <item x="0"/>
        <item x="1"/>
        <item t="default"/>
      </items>
    </pivotField>
    <pivotField name="Count" dataField="1" compact="0" outline="0" multipleItemSelectionAllowed="1" showAll="0">
      <items>
        <item x="0"/>
        <item t="default"/>
      </items>
    </pivotField>
  </pivotFields>
  <rowFields>
    <field x="3"/>
  </rowFields>
  <colFields>
    <field x="-2"/>
  </colFields>
  <dataFields>
    <dataField name="SUM of Max score" fld="15" baseField="0"/>
    <dataField name="SUM of Count" fld="17" baseField="0"/>
  </dataFields>
</pivotTableDefinition>
</file>

<file path=xl/tables/table1.xml><?xml version="1.0" encoding="utf-8"?>
<table xmlns="http://schemas.openxmlformats.org/spreadsheetml/2006/main" ref="A1:L54" displayName="Table_1" name="Table_1" id="1">
  <tableColumns count="12">
    <tableColumn name="S.No." id="1"/>
    <tableColumn name="ESG" id="2"/>
    <tableColumn name="ESG Sub-category" id="3"/>
    <tableColumn name="Question statement" id="4"/>
    <tableColumn name="Core/Strategic" id="5"/>
    <tableColumn name="Type of question (Standalone, linked)" id="6"/>
    <tableColumn name="Response options for radio questions" id="7"/>
    <tableColumn name="Evidence required" id="8"/>
    <tableColumn name="Score" id="9"/>
    <tableColumn name="Remarks by the responder" id="10"/>
    <tableColumn name="Guidelines for strategic questions" id="11"/>
    <tableColumn name="Source" id="12"/>
  </tableColumns>
  <tableStyleInfo name="Master questionnaire - Basic le-style" showColumnStripes="0" showFirstColumn="1" showLastColumn="1" showRowStripes="1"/>
</table>
</file>

<file path=xl/tables/table2.xml><?xml version="1.0" encoding="utf-8"?>
<table xmlns="http://schemas.openxmlformats.org/spreadsheetml/2006/main" ref="B2:E19" displayName="Table_2" name="Table_2" id="2">
  <tableColumns count="4">
    <tableColumn name="Sl no." id="1"/>
    <tableColumn name="General Disclosures" id="2"/>
    <tableColumn name="Input" id="3"/>
    <tableColumn name="Reference framework" id="4"/>
  </tableColumns>
  <tableStyleInfo name="Master questionnaire-General-style" showColumnStripes="0" showFirstColumn="1" showLastColumn="1" showRowStripes="1"/>
</table>
</file>

<file path=xl/tables/table3.xml><?xml version="1.0" encoding="utf-8"?>
<table xmlns="http://schemas.openxmlformats.org/spreadsheetml/2006/main" ref="B22:F30" displayName="Table_3" name="Table_3" id="3">
  <tableColumns count="5">
    <tableColumn name="Details of employees" id="1"/>
    <tableColumn name="Current FY" id="2"/>
    <tableColumn name="Current FY 2" id="3"/>
    <tableColumn name="Previous FY" id="4"/>
    <tableColumn name="Previous FY 2" id="5"/>
  </tableColumns>
  <tableStyleInfo name="Master questionnaire-General-style 2" showColumnStripes="0" showFirstColumn="1" showLastColumn="1" showRowStripes="1"/>
</table>
</file>

<file path=xl/tables/table4.xml><?xml version="1.0" encoding="utf-8"?>
<table xmlns="http://schemas.openxmlformats.org/spreadsheetml/2006/main" ref="B32:F40" displayName="Table_4" name="Table_4" id="4">
  <tableColumns count="5">
    <tableColumn name="Details of employees and workers with disability" id="1"/>
    <tableColumn name="Current FY" id="2"/>
    <tableColumn name="Current FY 2" id="3"/>
    <tableColumn name="Previous FY" id="4"/>
    <tableColumn name="Previous FY 2" id="5"/>
  </tableColumns>
  <tableStyleInfo name="Master questionnaire-General-style 3" showColumnStripes="0" showFirstColumn="1" showLastColumn="1" showRowStripes="1"/>
</table>
</file>

<file path=xl/tables/table5.xml><?xml version="1.0" encoding="utf-8"?>
<table xmlns="http://schemas.openxmlformats.org/spreadsheetml/2006/main" ref="B42:F46" displayName="Table_5" name="Table_5" id="5">
  <tableColumns count="5">
    <tableColumn name="Details of the Board" id="1"/>
    <tableColumn name="Current FY" id="2"/>
    <tableColumn name="Current FY 2" id="3"/>
    <tableColumn name="Previous FY" id="4"/>
    <tableColumn name="Previous FY 2" id="5"/>
  </tableColumns>
  <tableStyleInfo name="Master questionnaire-General-style 4" showColumnStripes="0" showFirstColumn="1" showLastColumn="1" showRowStripes="1"/>
</table>
</file>

<file path=xl/tables/table6.xml><?xml version="1.0" encoding="utf-8"?>
<table xmlns="http://schemas.openxmlformats.org/spreadsheetml/2006/main" ref="A1:S54" displayName="Table_6" name="Table_6" id="6">
  <tableColumns count="19">
    <tableColumn name="S.No." id="1"/>
    <tableColumn name="ESG" id="2"/>
    <tableColumn name="ESG Sub-category" id="3"/>
    <tableColumn name="Assessment attibute" id="4"/>
    <tableColumn name="Question statement" id="5"/>
    <tableColumn name="UoM" id="6"/>
    <tableColumn name="Current FY" id="7"/>
    <tableColumn name="Previous FY" id="8"/>
    <tableColumn name="Reference framework(s)" id="9"/>
    <tableColumn name="BRSR Question#" id="10"/>
    <tableColumn name="Type of question (Radio, Text)" id="11"/>
    <tableColumn name="Type of response required (Text, Yes/No, Numeric, Alphanumeric)" id="12"/>
    <tableColumn name="Response options for radio questions" id="13"/>
    <tableColumn name="Supporting Document" id="14"/>
    <tableColumn name="Remarks / Comments" id="15"/>
    <tableColumn name="Score" id="16"/>
    <tableColumn name="Max score" id="17"/>
    <tableColumn name="Min score" id="18"/>
    <tableColumn name="Count" id="19"/>
  </tableColumns>
  <tableStyleInfo name="Master questionnaire - Advanced-style" showColumnStripes="0" showFirstColumn="1" showLastColumn="1" showRowStripes="1"/>
</table>
</file>

<file path=xl/tables/table7.xml><?xml version="1.0" encoding="utf-8"?>
<table xmlns="http://schemas.openxmlformats.org/spreadsheetml/2006/main" ref="A1:T59" displayName="Table_7" name="Table_7" id="7">
  <tableColumns count="20">
    <tableColumn name="S.No." id="1"/>
    <tableColumn name="ESG" id="2"/>
    <tableColumn name="ESG Sub-category" id="3"/>
    <tableColumn name="Assessment Attribute" id="4"/>
    <tableColumn name="Question statement" id="5"/>
    <tableColumn name="UoM" id="6"/>
    <tableColumn name="Current FY" id="7"/>
    <tableColumn name="Previous FY" id="8"/>
    <tableColumn name="Reference framework(s)" id="9"/>
    <tableColumn name="Type of question (Radio, Text)" id="10"/>
    <tableColumn name="Type of response required (Text, Yes/No, Numeric, Alphanumeric)" id="11"/>
    <tableColumn name="BRSR Question" id="12"/>
    <tableColumn name="Response options for radio questions" id="13"/>
    <tableColumn name="Supporting Document" id="14"/>
    <tableColumn name="Remarks" id="15"/>
    <tableColumn name="Scoring Scheme" id="16"/>
    <tableColumn name="Max Score" id="17"/>
    <tableColumn name="Min Score" id="18"/>
    <tableColumn name="Supporting Document 2" id="19"/>
    <tableColumn name="Count" id="20"/>
  </tableColumns>
  <tableStyleInfo name="Sheet8-style" showColumnStripes="0" showFirstColumn="1" showLastColumn="1" showRowStripes="1"/>
</table>
</file>

<file path=xl/tables/table8.xml><?xml version="1.0" encoding="utf-8"?>
<table xmlns="http://schemas.openxmlformats.org/spreadsheetml/2006/main" ref="A1:R39" displayName="Table_8" name="Table_8" id="8">
  <tableColumns count="18">
    <tableColumn name="S.No." id="1"/>
    <tableColumn name="ESG" id="2"/>
    <tableColumn name="ESG Sub-category" id="3"/>
    <tableColumn name="Assessment Attribute" id="4"/>
    <tableColumn name="Question statement" id="5"/>
    <tableColumn name="UoM" id="6"/>
    <tableColumn name="Current FY" id="7"/>
    <tableColumn name="Previous FY" id="8"/>
    <tableColumn name="Reference framework(s)" id="9"/>
    <tableColumn name="Question ID" id="10"/>
    <tableColumn name="Type of question (Radio, Text)" id="11"/>
    <tableColumn name="Type of response required (Text, Yes/No, Numeric, Alphanumeric)" id="12"/>
    <tableColumn name="Response options for radio questions" id="13"/>
    <tableColumn name="Remarks" id="14"/>
    <tableColumn name="Scoring scheme" id="15"/>
    <tableColumn name="Max score" id="16"/>
    <tableColumn name="Supporting Document" id="17"/>
    <tableColumn name="Count" id="18"/>
  </tableColumns>
  <tableStyleInfo name="Sheet9-style" showColumnStripes="0" showFirstColumn="1" showLastColumn="1" showRowStripes="1"/>
</table>
</file>

<file path=xl/tables/table9.xml><?xml version="1.0" encoding="utf-8"?>
<table xmlns="http://schemas.openxmlformats.org/spreadsheetml/2006/main" ref="B3:C8" displayName="Table_9" name="Table_9" id="9">
  <tableColumns count="2">
    <tableColumn name="Framework" id="1"/>
    <tableColumn name="Code" id="2"/>
  </tableColumns>
  <tableStyleInfo name="ESG framework coding-style" showColumnStripes="0" showFirstColumn="1" showLastColumn="1" showRowStripes="1"/>
</table>
</file>

<file path=xl/tables/table10.xml><?xml version="1.0" encoding="utf-8"?>
<table xmlns="http://schemas.openxmlformats.org/spreadsheetml/2006/main" ref="B1:D12" displayName="Table_10" name="Table_10" id="10">
  <tableColumns count="3">
    <tableColumn name="Environment" id="1"/>
    <tableColumn name="Social" id="2"/>
    <tableColumn name="Governance" id="3"/>
  </tableColumns>
  <tableStyleInfo name="ESG Subcateg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5.xml"/><Relationship Id="rId6" Type="http://schemas.openxmlformats.org/officeDocument/2006/relationships/table" Target="../tables/table2.xml"/><Relationship Id="rId7" Type="http://schemas.openxmlformats.org/officeDocument/2006/relationships/table" Target="../tables/table3.xml"/><Relationship Id="rId8"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1.0"/>
    <col customWidth="1" min="2" max="6" width="12.63"/>
  </cols>
  <sheetData>
    <row r="1" ht="15.75" customHeight="1"/>
    <row r="2" ht="15.75" customHeight="1"/>
    <row r="3" ht="15.75" customHeight="1">
      <c r="E3" s="2">
        <f t="shared" ref="E3:E5" si="1">B3/$B$6</f>
        <v>0.3333333333</v>
      </c>
      <c r="F3" s="2">
        <f t="shared" ref="F3:F5" si="2">D3/$D$6</f>
        <v>0.3962264151</v>
      </c>
    </row>
    <row r="4" ht="15.75" customHeight="1">
      <c r="E4" s="2">
        <f t="shared" si="1"/>
        <v>0.2051282051</v>
      </c>
      <c r="F4" s="2">
        <f t="shared" si="2"/>
        <v>0.1698113208</v>
      </c>
    </row>
    <row r="5" ht="15.75" customHeight="1">
      <c r="E5" s="2">
        <f t="shared" si="1"/>
        <v>0.4615384615</v>
      </c>
      <c r="F5" s="2">
        <f t="shared" si="2"/>
        <v>0.4339622642</v>
      </c>
    </row>
    <row r="6" ht="15.75" customHeight="1"/>
    <row r="7" ht="15.75" customHeight="1">
      <c r="A7" s="3" t="s">
        <v>9</v>
      </c>
      <c r="B7" s="2">
        <f>B6/D6</f>
        <v>0.7358490566</v>
      </c>
    </row>
    <row r="8" ht="15.75" customHeight="1">
      <c r="A8" s="3" t="s">
        <v>10</v>
      </c>
      <c r="B8" s="2">
        <v>1.0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63"/>
    <col customWidth="1" min="3" max="3" width="29.88"/>
    <col customWidth="1" min="4" max="4" width="56.63"/>
    <col customWidth="1" min="5" max="5" width="21.13"/>
    <col customWidth="1" min="6" max="6" width="20.13"/>
    <col customWidth="1" min="7" max="7" width="46.63"/>
    <col customWidth="1" min="8" max="8" width="42.5"/>
    <col customWidth="1" min="9" max="10" width="25.38"/>
    <col customWidth="1" min="11" max="11" width="35.38"/>
    <col customWidth="1" min="12" max="12" width="119.75"/>
  </cols>
  <sheetData>
    <row r="1" ht="22.5" customHeight="1">
      <c r="A1" s="4" t="s">
        <v>11</v>
      </c>
      <c r="B1" s="4" t="s">
        <v>2</v>
      </c>
      <c r="C1" s="4" t="s">
        <v>12</v>
      </c>
      <c r="D1" s="4" t="s">
        <v>13</v>
      </c>
      <c r="E1" s="4" t="s">
        <v>1</v>
      </c>
      <c r="F1" s="4" t="s">
        <v>14</v>
      </c>
      <c r="G1" s="4" t="s">
        <v>15</v>
      </c>
      <c r="H1" s="4" t="s">
        <v>16</v>
      </c>
      <c r="I1" s="5" t="s">
        <v>17</v>
      </c>
      <c r="J1" s="5" t="s">
        <v>18</v>
      </c>
      <c r="K1" s="5" t="s">
        <v>19</v>
      </c>
      <c r="L1" s="6" t="s">
        <v>20</v>
      </c>
    </row>
    <row r="2" ht="22.5" customHeight="1">
      <c r="A2" s="7">
        <v>1.0</v>
      </c>
      <c r="B2" s="7" t="s">
        <v>6</v>
      </c>
      <c r="C2" s="7" t="s">
        <v>21</v>
      </c>
      <c r="D2" s="8" t="s">
        <v>22</v>
      </c>
      <c r="E2" s="7" t="str">
        <f t="shared" ref="E2:E11" si="1">if(F2="Standalone","Core","Strategic")</f>
        <v>Core</v>
      </c>
      <c r="F2" s="7" t="s">
        <v>23</v>
      </c>
      <c r="G2" s="8" t="s">
        <v>24</v>
      </c>
      <c r="H2" s="8" t="s">
        <v>25</v>
      </c>
      <c r="I2" s="7" t="s">
        <v>26</v>
      </c>
      <c r="J2" s="9"/>
      <c r="K2" s="7"/>
      <c r="L2" s="10" t="s">
        <v>27</v>
      </c>
    </row>
    <row r="3" ht="22.5" customHeight="1">
      <c r="A3" s="7">
        <v>2.0</v>
      </c>
      <c r="B3" s="7" t="s">
        <v>6</v>
      </c>
      <c r="C3" s="7" t="s">
        <v>21</v>
      </c>
      <c r="D3" s="7" t="s">
        <v>28</v>
      </c>
      <c r="E3" s="7" t="str">
        <f t="shared" si="1"/>
        <v>Strategic</v>
      </c>
      <c r="F3" s="7" t="s">
        <v>29</v>
      </c>
      <c r="G3" s="8" t="s">
        <v>30</v>
      </c>
      <c r="H3" s="8" t="s">
        <v>31</v>
      </c>
      <c r="I3" s="7" t="s">
        <v>32</v>
      </c>
      <c r="J3" s="9"/>
      <c r="K3" s="8" t="s">
        <v>33</v>
      </c>
      <c r="L3" s="11" t="s">
        <v>27</v>
      </c>
    </row>
    <row r="4" ht="22.5" customHeight="1">
      <c r="A4" s="7">
        <v>3.0</v>
      </c>
      <c r="B4" s="7" t="s">
        <v>6</v>
      </c>
      <c r="C4" s="7" t="s">
        <v>21</v>
      </c>
      <c r="D4" s="8" t="s">
        <v>34</v>
      </c>
      <c r="E4" s="7" t="str">
        <f t="shared" si="1"/>
        <v>Core</v>
      </c>
      <c r="F4" s="7" t="s">
        <v>23</v>
      </c>
      <c r="G4" s="8" t="s">
        <v>24</v>
      </c>
      <c r="H4" s="8" t="s">
        <v>35</v>
      </c>
      <c r="I4" s="7" t="s">
        <v>26</v>
      </c>
      <c r="J4" s="9"/>
      <c r="K4" s="7"/>
      <c r="L4" s="10" t="s">
        <v>27</v>
      </c>
    </row>
    <row r="5" ht="22.5" customHeight="1">
      <c r="A5" s="7">
        <v>4.0</v>
      </c>
      <c r="B5" s="7" t="s">
        <v>6</v>
      </c>
      <c r="C5" s="7" t="s">
        <v>21</v>
      </c>
      <c r="D5" s="12" t="s">
        <v>36</v>
      </c>
      <c r="E5" s="7" t="str">
        <f t="shared" si="1"/>
        <v>Strategic</v>
      </c>
      <c r="F5" s="7" t="s">
        <v>29</v>
      </c>
      <c r="G5" s="8" t="s">
        <v>24</v>
      </c>
      <c r="H5" s="8" t="s">
        <v>37</v>
      </c>
      <c r="I5" s="7" t="s">
        <v>26</v>
      </c>
      <c r="J5" s="9"/>
      <c r="K5" s="7"/>
      <c r="L5" s="10" t="s">
        <v>38</v>
      </c>
    </row>
    <row r="6" ht="22.5" customHeight="1">
      <c r="A6" s="7">
        <v>5.0</v>
      </c>
      <c r="B6" s="7" t="s">
        <v>6</v>
      </c>
      <c r="C6" s="7" t="s">
        <v>21</v>
      </c>
      <c r="D6" s="13" t="s">
        <v>39</v>
      </c>
      <c r="E6" s="7" t="str">
        <f t="shared" si="1"/>
        <v>Strategic</v>
      </c>
      <c r="F6" s="7" t="s">
        <v>29</v>
      </c>
      <c r="G6" s="8" t="s">
        <v>40</v>
      </c>
      <c r="H6" s="8" t="s">
        <v>41</v>
      </c>
      <c r="I6" s="7" t="s">
        <v>26</v>
      </c>
      <c r="J6" s="9"/>
      <c r="K6" s="7"/>
      <c r="L6" s="10" t="s">
        <v>42</v>
      </c>
    </row>
    <row r="7" ht="22.5" customHeight="1">
      <c r="A7" s="7">
        <v>6.0</v>
      </c>
      <c r="B7" s="7" t="s">
        <v>6</v>
      </c>
      <c r="C7" s="7" t="s">
        <v>43</v>
      </c>
      <c r="D7" s="8" t="s">
        <v>44</v>
      </c>
      <c r="E7" s="7" t="str">
        <f t="shared" si="1"/>
        <v>Core</v>
      </c>
      <c r="F7" s="7" t="s">
        <v>23</v>
      </c>
      <c r="G7" s="8" t="s">
        <v>24</v>
      </c>
      <c r="H7" s="8" t="s">
        <v>45</v>
      </c>
      <c r="I7" s="7" t="s">
        <v>26</v>
      </c>
      <c r="J7" s="9"/>
      <c r="K7" s="7"/>
      <c r="L7" s="10" t="s">
        <v>46</v>
      </c>
    </row>
    <row r="8" ht="22.5" customHeight="1">
      <c r="A8" s="7">
        <v>7.0</v>
      </c>
      <c r="B8" s="7" t="s">
        <v>6</v>
      </c>
      <c r="C8" s="7" t="s">
        <v>43</v>
      </c>
      <c r="D8" s="8" t="s">
        <v>47</v>
      </c>
      <c r="E8" s="7" t="str">
        <f t="shared" si="1"/>
        <v>Core</v>
      </c>
      <c r="F8" s="7" t="s">
        <v>23</v>
      </c>
      <c r="G8" s="8" t="s">
        <v>24</v>
      </c>
      <c r="H8" s="8" t="s">
        <v>45</v>
      </c>
      <c r="I8" s="7" t="s">
        <v>26</v>
      </c>
      <c r="J8" s="9"/>
      <c r="K8" s="7"/>
      <c r="L8" s="10" t="s">
        <v>48</v>
      </c>
    </row>
    <row r="9" ht="22.5" customHeight="1">
      <c r="A9" s="7">
        <v>8.0</v>
      </c>
      <c r="B9" s="7" t="s">
        <v>6</v>
      </c>
      <c r="C9" s="7" t="s">
        <v>43</v>
      </c>
      <c r="D9" s="8" t="s">
        <v>49</v>
      </c>
      <c r="E9" s="7" t="str">
        <f t="shared" si="1"/>
        <v>Strategic</v>
      </c>
      <c r="F9" s="7" t="s">
        <v>29</v>
      </c>
      <c r="G9" s="8" t="s">
        <v>50</v>
      </c>
      <c r="H9" s="8" t="s">
        <v>45</v>
      </c>
      <c r="I9" s="7" t="s">
        <v>26</v>
      </c>
      <c r="J9" s="9"/>
      <c r="K9" s="7"/>
      <c r="L9" s="10" t="s">
        <v>51</v>
      </c>
    </row>
    <row r="10" ht="22.5" customHeight="1">
      <c r="A10" s="7">
        <v>9.0</v>
      </c>
      <c r="B10" s="7" t="s">
        <v>6</v>
      </c>
      <c r="C10" s="7" t="s">
        <v>52</v>
      </c>
      <c r="D10" s="8" t="s">
        <v>53</v>
      </c>
      <c r="E10" s="7" t="str">
        <f t="shared" si="1"/>
        <v>Core</v>
      </c>
      <c r="F10" s="7" t="s">
        <v>23</v>
      </c>
      <c r="G10" s="8" t="s">
        <v>24</v>
      </c>
      <c r="H10" s="8" t="s">
        <v>54</v>
      </c>
      <c r="I10" s="7" t="s">
        <v>26</v>
      </c>
      <c r="J10" s="9"/>
      <c r="K10" s="7"/>
      <c r="L10" s="10" t="s">
        <v>55</v>
      </c>
    </row>
    <row r="11" ht="22.5" customHeight="1">
      <c r="A11" s="7">
        <v>10.0</v>
      </c>
      <c r="B11" s="7" t="s">
        <v>6</v>
      </c>
      <c r="C11" s="7" t="s">
        <v>52</v>
      </c>
      <c r="D11" s="8" t="s">
        <v>56</v>
      </c>
      <c r="E11" s="7" t="str">
        <f t="shared" si="1"/>
        <v>Strategic</v>
      </c>
      <c r="F11" s="7" t="s">
        <v>29</v>
      </c>
      <c r="G11" s="8" t="s">
        <v>24</v>
      </c>
      <c r="H11" s="8" t="s">
        <v>57</v>
      </c>
      <c r="I11" s="7" t="s">
        <v>26</v>
      </c>
      <c r="J11" s="9"/>
      <c r="K11" s="7"/>
      <c r="L11" s="10" t="s">
        <v>58</v>
      </c>
    </row>
    <row r="12" ht="22.5" customHeight="1">
      <c r="A12" s="7">
        <v>11.0</v>
      </c>
      <c r="B12" s="14" t="s">
        <v>6</v>
      </c>
      <c r="C12" s="14" t="s">
        <v>52</v>
      </c>
      <c r="D12" s="15" t="s">
        <v>59</v>
      </c>
      <c r="E12" s="14" t="s">
        <v>4</v>
      </c>
      <c r="F12" s="14" t="s">
        <v>29</v>
      </c>
      <c r="G12" s="15" t="s">
        <v>24</v>
      </c>
      <c r="H12" s="15" t="s">
        <v>60</v>
      </c>
      <c r="I12" s="14" t="s">
        <v>26</v>
      </c>
      <c r="J12" s="14"/>
      <c r="K12" s="14"/>
      <c r="L12" s="16" t="s">
        <v>61</v>
      </c>
      <c r="M12" s="17"/>
      <c r="N12" s="17"/>
      <c r="O12" s="17"/>
      <c r="P12" s="17"/>
      <c r="Q12" s="17"/>
      <c r="R12" s="17"/>
      <c r="S12" s="17"/>
      <c r="T12" s="17"/>
      <c r="U12" s="17"/>
      <c r="V12" s="17"/>
      <c r="W12" s="17"/>
      <c r="X12" s="17"/>
      <c r="Y12" s="17"/>
      <c r="Z12" s="17"/>
      <c r="AA12" s="17"/>
      <c r="AB12" s="17"/>
    </row>
    <row r="13" ht="22.5" customHeight="1">
      <c r="A13" s="7">
        <v>13.0</v>
      </c>
      <c r="B13" s="7" t="s">
        <v>6</v>
      </c>
      <c r="C13" s="7" t="s">
        <v>62</v>
      </c>
      <c r="D13" s="8" t="s">
        <v>63</v>
      </c>
      <c r="E13" s="7" t="str">
        <f t="shared" ref="E13:E54" si="2">if(F13="Standalone","Core","Strategic")</f>
        <v>Core</v>
      </c>
      <c r="F13" s="7" t="s">
        <v>23</v>
      </c>
      <c r="G13" s="8" t="s">
        <v>24</v>
      </c>
      <c r="H13" s="8" t="s">
        <v>64</v>
      </c>
      <c r="I13" s="7" t="s">
        <v>26</v>
      </c>
      <c r="J13" s="9"/>
      <c r="K13" s="7"/>
      <c r="L13" s="10" t="s">
        <v>65</v>
      </c>
    </row>
    <row r="14" ht="22.5" customHeight="1">
      <c r="A14" s="7">
        <v>14.0</v>
      </c>
      <c r="B14" s="7" t="s">
        <v>6</v>
      </c>
      <c r="C14" s="7" t="s">
        <v>62</v>
      </c>
      <c r="D14" s="8" t="s">
        <v>66</v>
      </c>
      <c r="E14" s="7" t="str">
        <f t="shared" si="2"/>
        <v>Core</v>
      </c>
      <c r="F14" s="7" t="s">
        <v>23</v>
      </c>
      <c r="G14" s="8" t="s">
        <v>24</v>
      </c>
      <c r="H14" s="8" t="s">
        <v>64</v>
      </c>
      <c r="I14" s="7" t="s">
        <v>26</v>
      </c>
      <c r="J14" s="9"/>
      <c r="K14" s="7"/>
      <c r="L14" s="10" t="s">
        <v>67</v>
      </c>
    </row>
    <row r="15" ht="22.5" customHeight="1">
      <c r="A15" s="7">
        <v>15.0</v>
      </c>
      <c r="B15" s="7" t="s">
        <v>6</v>
      </c>
      <c r="C15" s="7" t="s">
        <v>62</v>
      </c>
      <c r="D15" s="8" t="s">
        <v>68</v>
      </c>
      <c r="E15" s="7" t="str">
        <f t="shared" si="2"/>
        <v>Strategic</v>
      </c>
      <c r="F15" s="7" t="s">
        <v>29</v>
      </c>
      <c r="G15" s="8" t="s">
        <v>24</v>
      </c>
      <c r="H15" s="8" t="s">
        <v>69</v>
      </c>
      <c r="I15" s="7" t="s">
        <v>26</v>
      </c>
      <c r="J15" s="9"/>
      <c r="K15" s="7"/>
      <c r="L15" s="10" t="s">
        <v>70</v>
      </c>
    </row>
    <row r="16" ht="22.5" customHeight="1">
      <c r="A16" s="7">
        <v>16.0</v>
      </c>
      <c r="B16" s="7" t="s">
        <v>6</v>
      </c>
      <c r="C16" s="7" t="s">
        <v>71</v>
      </c>
      <c r="D16" s="8" t="s">
        <v>72</v>
      </c>
      <c r="E16" s="7" t="str">
        <f t="shared" si="2"/>
        <v>Core</v>
      </c>
      <c r="F16" s="7" t="s">
        <v>23</v>
      </c>
      <c r="G16" s="8" t="s">
        <v>24</v>
      </c>
      <c r="H16" s="8" t="s">
        <v>73</v>
      </c>
      <c r="I16" s="7" t="s">
        <v>26</v>
      </c>
      <c r="J16" s="9"/>
      <c r="K16" s="7"/>
      <c r="L16" s="10" t="s">
        <v>74</v>
      </c>
    </row>
    <row r="17" ht="22.5" customHeight="1">
      <c r="A17" s="7">
        <v>17.0</v>
      </c>
      <c r="B17" s="7" t="s">
        <v>6</v>
      </c>
      <c r="C17" s="7" t="s">
        <v>75</v>
      </c>
      <c r="D17" s="7" t="s">
        <v>76</v>
      </c>
      <c r="E17" s="7" t="str">
        <f t="shared" si="2"/>
        <v>Core</v>
      </c>
      <c r="F17" s="7" t="s">
        <v>23</v>
      </c>
      <c r="G17" s="8" t="s">
        <v>24</v>
      </c>
      <c r="H17" s="8" t="s">
        <v>37</v>
      </c>
      <c r="I17" s="7" t="s">
        <v>26</v>
      </c>
      <c r="J17" s="9"/>
      <c r="K17" s="7"/>
      <c r="L17" s="10" t="s">
        <v>77</v>
      </c>
    </row>
    <row r="18" ht="22.5" customHeight="1">
      <c r="A18" s="7">
        <v>18.0</v>
      </c>
      <c r="B18" s="7" t="s">
        <v>6</v>
      </c>
      <c r="C18" s="7" t="s">
        <v>75</v>
      </c>
      <c r="D18" s="8" t="s">
        <v>78</v>
      </c>
      <c r="E18" s="7" t="str">
        <f t="shared" si="2"/>
        <v>Core</v>
      </c>
      <c r="F18" s="7" t="s">
        <v>23</v>
      </c>
      <c r="G18" s="8" t="s">
        <v>24</v>
      </c>
      <c r="H18" s="8" t="s">
        <v>79</v>
      </c>
      <c r="I18" s="7" t="s">
        <v>26</v>
      </c>
      <c r="J18" s="9"/>
      <c r="K18" s="7"/>
      <c r="L18" s="10" t="s">
        <v>80</v>
      </c>
    </row>
    <row r="19" ht="22.5" customHeight="1">
      <c r="A19" s="7">
        <v>19.0</v>
      </c>
      <c r="B19" s="7" t="s">
        <v>6</v>
      </c>
      <c r="C19" s="7" t="s">
        <v>81</v>
      </c>
      <c r="D19" s="8" t="s">
        <v>82</v>
      </c>
      <c r="E19" s="7" t="str">
        <f t="shared" si="2"/>
        <v>Core</v>
      </c>
      <c r="F19" s="7" t="s">
        <v>23</v>
      </c>
      <c r="G19" s="8" t="s">
        <v>24</v>
      </c>
      <c r="H19" s="8" t="s">
        <v>37</v>
      </c>
      <c r="I19" s="7" t="s">
        <v>26</v>
      </c>
      <c r="J19" s="9"/>
      <c r="K19" s="7"/>
      <c r="L19" s="10" t="s">
        <v>83</v>
      </c>
    </row>
    <row r="20" ht="22.5" customHeight="1">
      <c r="A20" s="7">
        <v>20.0</v>
      </c>
      <c r="B20" s="7" t="s">
        <v>6</v>
      </c>
      <c r="C20" s="7" t="s">
        <v>81</v>
      </c>
      <c r="D20" s="7" t="s">
        <v>84</v>
      </c>
      <c r="E20" s="7" t="str">
        <f t="shared" si="2"/>
        <v>Core</v>
      </c>
      <c r="F20" s="7" t="s">
        <v>23</v>
      </c>
      <c r="G20" s="8" t="s">
        <v>24</v>
      </c>
      <c r="H20" s="8" t="s">
        <v>37</v>
      </c>
      <c r="I20" s="7" t="s">
        <v>26</v>
      </c>
      <c r="J20" s="9"/>
      <c r="K20" s="7"/>
      <c r="L20" s="10" t="s">
        <v>85</v>
      </c>
    </row>
    <row r="21" ht="22.5" customHeight="1">
      <c r="A21" s="7">
        <v>21.0</v>
      </c>
      <c r="B21" s="7" t="s">
        <v>6</v>
      </c>
      <c r="C21" s="7" t="s">
        <v>86</v>
      </c>
      <c r="D21" s="8" t="s">
        <v>87</v>
      </c>
      <c r="E21" s="7" t="str">
        <f t="shared" si="2"/>
        <v>Strategic</v>
      </c>
      <c r="F21" s="7" t="s">
        <v>29</v>
      </c>
      <c r="G21" s="8" t="s">
        <v>24</v>
      </c>
      <c r="H21" s="8" t="s">
        <v>86</v>
      </c>
      <c r="I21" s="7" t="s">
        <v>26</v>
      </c>
      <c r="J21" s="9"/>
      <c r="K21" s="7"/>
      <c r="L21" s="10" t="s">
        <v>88</v>
      </c>
    </row>
    <row r="22" ht="22.5" customHeight="1">
      <c r="A22" s="7">
        <v>22.0</v>
      </c>
      <c r="B22" s="7" t="s">
        <v>6</v>
      </c>
      <c r="C22" s="7" t="s">
        <v>81</v>
      </c>
      <c r="D22" s="8" t="s">
        <v>89</v>
      </c>
      <c r="E22" s="7" t="str">
        <f t="shared" si="2"/>
        <v>Core</v>
      </c>
      <c r="F22" s="7" t="s">
        <v>23</v>
      </c>
      <c r="G22" s="8" t="s">
        <v>24</v>
      </c>
      <c r="H22" s="8" t="s">
        <v>37</v>
      </c>
      <c r="I22" s="18" t="s">
        <v>90</v>
      </c>
      <c r="J22" s="9"/>
      <c r="K22" s="7"/>
      <c r="L22" s="19" t="s">
        <v>91</v>
      </c>
    </row>
    <row r="23" ht="22.5" hidden="1" customHeight="1">
      <c r="A23" s="7">
        <v>23.0</v>
      </c>
      <c r="B23" s="7" t="s">
        <v>8</v>
      </c>
      <c r="C23" s="7" t="s">
        <v>92</v>
      </c>
      <c r="D23" s="8" t="s">
        <v>93</v>
      </c>
      <c r="E23" s="7" t="str">
        <f t="shared" si="2"/>
        <v>Core</v>
      </c>
      <c r="F23" s="7" t="s">
        <v>23</v>
      </c>
      <c r="G23" s="8" t="s">
        <v>24</v>
      </c>
      <c r="H23" s="8" t="s">
        <v>94</v>
      </c>
      <c r="I23" s="7" t="s">
        <v>26</v>
      </c>
      <c r="J23" s="9"/>
      <c r="K23" s="7"/>
      <c r="L23" s="20"/>
    </row>
    <row r="24" ht="22.5" hidden="1" customHeight="1">
      <c r="A24" s="7">
        <v>24.0</v>
      </c>
      <c r="B24" s="7" t="s">
        <v>8</v>
      </c>
      <c r="C24" s="7" t="s">
        <v>92</v>
      </c>
      <c r="D24" s="8" t="s">
        <v>95</v>
      </c>
      <c r="E24" s="7" t="str">
        <f t="shared" si="2"/>
        <v>Core</v>
      </c>
      <c r="F24" s="7" t="s">
        <v>23</v>
      </c>
      <c r="G24" s="8" t="s">
        <v>24</v>
      </c>
      <c r="H24" s="8" t="s">
        <v>94</v>
      </c>
      <c r="I24" s="7" t="s">
        <v>26</v>
      </c>
      <c r="J24" s="9"/>
      <c r="K24" s="7"/>
      <c r="L24" s="20"/>
    </row>
    <row r="25" ht="22.5" hidden="1" customHeight="1">
      <c r="A25" s="7">
        <v>25.0</v>
      </c>
      <c r="B25" s="7" t="s">
        <v>8</v>
      </c>
      <c r="C25" s="7" t="s">
        <v>92</v>
      </c>
      <c r="D25" s="8" t="s">
        <v>96</v>
      </c>
      <c r="E25" s="7" t="str">
        <f t="shared" si="2"/>
        <v>Core</v>
      </c>
      <c r="F25" s="7" t="s">
        <v>23</v>
      </c>
      <c r="G25" s="8" t="s">
        <v>24</v>
      </c>
      <c r="H25" s="8" t="s">
        <v>94</v>
      </c>
      <c r="I25" s="7" t="s">
        <v>26</v>
      </c>
      <c r="J25" s="9"/>
      <c r="K25" s="7"/>
      <c r="L25" s="20"/>
    </row>
    <row r="26" ht="22.5" hidden="1" customHeight="1">
      <c r="A26" s="7">
        <v>26.0</v>
      </c>
      <c r="B26" s="7" t="s">
        <v>8</v>
      </c>
      <c r="C26" s="7" t="s">
        <v>92</v>
      </c>
      <c r="D26" s="8" t="s">
        <v>97</v>
      </c>
      <c r="E26" s="7" t="str">
        <f t="shared" si="2"/>
        <v>Core</v>
      </c>
      <c r="F26" s="7" t="s">
        <v>23</v>
      </c>
      <c r="G26" s="8" t="s">
        <v>24</v>
      </c>
      <c r="H26" s="8" t="s">
        <v>94</v>
      </c>
      <c r="I26" s="7" t="s">
        <v>26</v>
      </c>
      <c r="J26" s="9"/>
      <c r="K26" s="7"/>
      <c r="L26" s="20"/>
    </row>
    <row r="27" ht="22.5" hidden="1" customHeight="1">
      <c r="A27" s="7">
        <v>27.0</v>
      </c>
      <c r="B27" s="7" t="s">
        <v>8</v>
      </c>
      <c r="C27" s="7" t="s">
        <v>92</v>
      </c>
      <c r="D27" s="8" t="s">
        <v>98</v>
      </c>
      <c r="E27" s="7" t="str">
        <f t="shared" si="2"/>
        <v>Core</v>
      </c>
      <c r="F27" s="7" t="s">
        <v>23</v>
      </c>
      <c r="G27" s="8" t="s">
        <v>24</v>
      </c>
      <c r="H27" s="8" t="s">
        <v>99</v>
      </c>
      <c r="I27" s="7" t="s">
        <v>26</v>
      </c>
      <c r="J27" s="9"/>
      <c r="K27" s="7"/>
      <c r="L27" s="20"/>
    </row>
    <row r="28" ht="22.5" hidden="1" customHeight="1">
      <c r="A28" s="7">
        <v>28.0</v>
      </c>
      <c r="B28" s="7" t="s">
        <v>8</v>
      </c>
      <c r="C28" s="7" t="s">
        <v>92</v>
      </c>
      <c r="D28" s="8" t="s">
        <v>100</v>
      </c>
      <c r="E28" s="7" t="str">
        <f t="shared" si="2"/>
        <v>Core</v>
      </c>
      <c r="F28" s="7" t="s">
        <v>23</v>
      </c>
      <c r="G28" s="8" t="s">
        <v>24</v>
      </c>
      <c r="H28" s="8" t="s">
        <v>101</v>
      </c>
      <c r="I28" s="7" t="s">
        <v>26</v>
      </c>
      <c r="J28" s="9"/>
      <c r="K28" s="7"/>
      <c r="L28" s="20"/>
    </row>
    <row r="29" ht="22.5" hidden="1" customHeight="1">
      <c r="A29" s="7">
        <v>29.0</v>
      </c>
      <c r="B29" s="7" t="s">
        <v>8</v>
      </c>
      <c r="C29" s="7" t="s">
        <v>92</v>
      </c>
      <c r="D29" s="8" t="s">
        <v>102</v>
      </c>
      <c r="E29" s="7" t="str">
        <f t="shared" si="2"/>
        <v>Strategic</v>
      </c>
      <c r="F29" s="7" t="s">
        <v>29</v>
      </c>
      <c r="G29" s="8" t="s">
        <v>24</v>
      </c>
      <c r="H29" s="8" t="s">
        <v>103</v>
      </c>
      <c r="I29" s="7" t="s">
        <v>26</v>
      </c>
      <c r="J29" s="9"/>
      <c r="K29" s="7"/>
      <c r="L29" s="20"/>
    </row>
    <row r="30" ht="22.5" hidden="1" customHeight="1">
      <c r="A30" s="7">
        <v>30.0</v>
      </c>
      <c r="B30" s="7" t="s">
        <v>8</v>
      </c>
      <c r="C30" s="7" t="s">
        <v>92</v>
      </c>
      <c r="D30" s="8" t="s">
        <v>104</v>
      </c>
      <c r="E30" s="7" t="str">
        <f t="shared" si="2"/>
        <v>Core</v>
      </c>
      <c r="F30" s="7" t="s">
        <v>23</v>
      </c>
      <c r="G30" s="8" t="s">
        <v>105</v>
      </c>
      <c r="H30" s="8" t="s">
        <v>106</v>
      </c>
      <c r="I30" s="7" t="s">
        <v>26</v>
      </c>
      <c r="J30" s="9"/>
      <c r="K30" s="7"/>
      <c r="L30" s="20"/>
    </row>
    <row r="31" ht="22.5" hidden="1" customHeight="1">
      <c r="A31" s="7">
        <v>31.0</v>
      </c>
      <c r="B31" s="7" t="s">
        <v>8</v>
      </c>
      <c r="C31" s="7" t="s">
        <v>81</v>
      </c>
      <c r="D31" s="8" t="s">
        <v>107</v>
      </c>
      <c r="E31" s="7" t="str">
        <f t="shared" si="2"/>
        <v>Core</v>
      </c>
      <c r="F31" s="7" t="s">
        <v>23</v>
      </c>
      <c r="G31" s="8" t="s">
        <v>24</v>
      </c>
      <c r="H31" s="8" t="s">
        <v>37</v>
      </c>
      <c r="I31" s="18" t="s">
        <v>90</v>
      </c>
      <c r="J31" s="9"/>
      <c r="K31" s="7"/>
      <c r="L31" s="20"/>
    </row>
    <row r="32" ht="22.5" hidden="1" customHeight="1">
      <c r="A32" s="7">
        <v>32.0</v>
      </c>
      <c r="B32" s="7" t="s">
        <v>8</v>
      </c>
      <c r="C32" s="7" t="s">
        <v>81</v>
      </c>
      <c r="D32" s="8" t="s">
        <v>108</v>
      </c>
      <c r="E32" s="7" t="str">
        <f t="shared" si="2"/>
        <v>Core</v>
      </c>
      <c r="F32" s="7" t="s">
        <v>23</v>
      </c>
      <c r="G32" s="8" t="s">
        <v>24</v>
      </c>
      <c r="H32" s="8" t="s">
        <v>109</v>
      </c>
      <c r="I32" s="7" t="s">
        <v>26</v>
      </c>
      <c r="J32" s="9"/>
      <c r="K32" s="7"/>
      <c r="L32" s="20"/>
    </row>
    <row r="33" ht="22.5" hidden="1" customHeight="1">
      <c r="A33" s="7">
        <v>33.0</v>
      </c>
      <c r="B33" s="7" t="s">
        <v>8</v>
      </c>
      <c r="C33" s="7" t="s">
        <v>81</v>
      </c>
      <c r="D33" s="8" t="s">
        <v>110</v>
      </c>
      <c r="E33" s="7" t="str">
        <f t="shared" si="2"/>
        <v>Core</v>
      </c>
      <c r="F33" s="7" t="s">
        <v>23</v>
      </c>
      <c r="G33" s="8" t="s">
        <v>24</v>
      </c>
      <c r="H33" s="8" t="s">
        <v>111</v>
      </c>
      <c r="I33" s="7" t="s">
        <v>26</v>
      </c>
      <c r="J33" s="9"/>
      <c r="K33" s="7"/>
      <c r="L33" s="20"/>
    </row>
    <row r="34" ht="22.5" hidden="1" customHeight="1">
      <c r="A34" s="7">
        <v>34.0</v>
      </c>
      <c r="B34" s="7" t="s">
        <v>8</v>
      </c>
      <c r="C34" s="7" t="s">
        <v>81</v>
      </c>
      <c r="D34" s="8" t="s">
        <v>112</v>
      </c>
      <c r="E34" s="7" t="str">
        <f t="shared" si="2"/>
        <v>Core</v>
      </c>
      <c r="F34" s="7" t="s">
        <v>23</v>
      </c>
      <c r="G34" s="8" t="s">
        <v>24</v>
      </c>
      <c r="H34" s="8" t="s">
        <v>113</v>
      </c>
      <c r="I34" s="7" t="s">
        <v>26</v>
      </c>
      <c r="J34" s="9"/>
      <c r="K34" s="7"/>
      <c r="L34" s="20"/>
    </row>
    <row r="35" ht="22.5" hidden="1" customHeight="1">
      <c r="A35" s="7">
        <v>35.0</v>
      </c>
      <c r="B35" s="7" t="s">
        <v>8</v>
      </c>
      <c r="C35" s="7" t="s">
        <v>86</v>
      </c>
      <c r="D35" s="8" t="s">
        <v>114</v>
      </c>
      <c r="E35" s="7" t="str">
        <f t="shared" si="2"/>
        <v>Strategic</v>
      </c>
      <c r="F35" s="7" t="s">
        <v>29</v>
      </c>
      <c r="G35" s="8" t="s">
        <v>24</v>
      </c>
      <c r="H35" s="8" t="s">
        <v>115</v>
      </c>
      <c r="I35" s="7" t="s">
        <v>26</v>
      </c>
      <c r="J35" s="9"/>
      <c r="K35" s="7"/>
      <c r="L35" s="20"/>
    </row>
    <row r="36" ht="22.5" hidden="1" customHeight="1">
      <c r="A36" s="7">
        <v>36.0</v>
      </c>
      <c r="B36" s="7" t="s">
        <v>8</v>
      </c>
      <c r="C36" s="7" t="s">
        <v>81</v>
      </c>
      <c r="D36" s="8" t="s">
        <v>116</v>
      </c>
      <c r="E36" s="7" t="str">
        <f t="shared" si="2"/>
        <v>Core</v>
      </c>
      <c r="F36" s="7" t="s">
        <v>23</v>
      </c>
      <c r="G36" s="8" t="s">
        <v>24</v>
      </c>
      <c r="H36" s="8" t="s">
        <v>117</v>
      </c>
      <c r="I36" s="7" t="s">
        <v>26</v>
      </c>
      <c r="J36" s="9"/>
      <c r="K36" s="7"/>
      <c r="L36" s="20"/>
    </row>
    <row r="37" ht="22.5" hidden="1" customHeight="1">
      <c r="A37" s="7">
        <v>37.0</v>
      </c>
      <c r="B37" s="7" t="s">
        <v>8</v>
      </c>
      <c r="C37" s="7" t="s">
        <v>118</v>
      </c>
      <c r="D37" s="8" t="s">
        <v>119</v>
      </c>
      <c r="E37" s="7" t="str">
        <f t="shared" si="2"/>
        <v>Core</v>
      </c>
      <c r="F37" s="7" t="s">
        <v>23</v>
      </c>
      <c r="G37" s="8" t="s">
        <v>24</v>
      </c>
      <c r="H37" s="8" t="s">
        <v>120</v>
      </c>
      <c r="I37" s="7" t="s">
        <v>26</v>
      </c>
      <c r="J37" s="9"/>
      <c r="K37" s="7"/>
      <c r="L37" s="20"/>
    </row>
    <row r="38" ht="22.5" hidden="1" customHeight="1">
      <c r="A38" s="7">
        <v>38.0</v>
      </c>
      <c r="B38" s="7" t="s">
        <v>8</v>
      </c>
      <c r="C38" s="7" t="s">
        <v>121</v>
      </c>
      <c r="D38" s="7" t="s">
        <v>122</v>
      </c>
      <c r="E38" s="7" t="str">
        <f t="shared" si="2"/>
        <v>Strategic</v>
      </c>
      <c r="F38" s="7" t="s">
        <v>29</v>
      </c>
      <c r="G38" s="8" t="s">
        <v>123</v>
      </c>
      <c r="H38" s="8" t="s">
        <v>124</v>
      </c>
      <c r="I38" s="7" t="s">
        <v>26</v>
      </c>
      <c r="J38" s="9"/>
      <c r="K38" s="7"/>
      <c r="L38" s="20"/>
    </row>
    <row r="39" ht="22.5" hidden="1" customHeight="1">
      <c r="A39" s="7">
        <v>39.0</v>
      </c>
      <c r="B39" s="7" t="s">
        <v>8</v>
      </c>
      <c r="C39" s="7" t="s">
        <v>118</v>
      </c>
      <c r="D39" s="8" t="s">
        <v>125</v>
      </c>
      <c r="E39" s="7" t="str">
        <f t="shared" si="2"/>
        <v>Core</v>
      </c>
      <c r="F39" s="7" t="s">
        <v>23</v>
      </c>
      <c r="G39" s="8" t="s">
        <v>24</v>
      </c>
      <c r="H39" s="8" t="s">
        <v>126</v>
      </c>
      <c r="I39" s="7" t="s">
        <v>26</v>
      </c>
      <c r="J39" s="9"/>
      <c r="K39" s="7"/>
      <c r="L39" s="20"/>
    </row>
    <row r="40" ht="22.5" hidden="1" customHeight="1">
      <c r="A40" s="7">
        <v>40.0</v>
      </c>
      <c r="B40" s="7" t="s">
        <v>8</v>
      </c>
      <c r="C40" s="7" t="s">
        <v>127</v>
      </c>
      <c r="D40" s="8" t="s">
        <v>128</v>
      </c>
      <c r="E40" s="7" t="str">
        <f t="shared" si="2"/>
        <v>Core</v>
      </c>
      <c r="F40" s="7" t="s">
        <v>23</v>
      </c>
      <c r="G40" s="8" t="s">
        <v>24</v>
      </c>
      <c r="H40" s="8" t="s">
        <v>129</v>
      </c>
      <c r="I40" s="7" t="s">
        <v>26</v>
      </c>
      <c r="J40" s="9"/>
      <c r="K40" s="7"/>
      <c r="L40" s="20"/>
    </row>
    <row r="41" ht="22.5" hidden="1" customHeight="1">
      <c r="A41" s="7">
        <v>41.0</v>
      </c>
      <c r="B41" s="7" t="s">
        <v>8</v>
      </c>
      <c r="C41" s="7" t="s">
        <v>127</v>
      </c>
      <c r="D41" s="8" t="s">
        <v>130</v>
      </c>
      <c r="E41" s="7" t="str">
        <f t="shared" si="2"/>
        <v>Core</v>
      </c>
      <c r="F41" s="7" t="s">
        <v>23</v>
      </c>
      <c r="G41" s="8" t="s">
        <v>24</v>
      </c>
      <c r="H41" s="8" t="s">
        <v>131</v>
      </c>
      <c r="I41" s="7" t="s">
        <v>26</v>
      </c>
      <c r="J41" s="9"/>
      <c r="K41" s="7"/>
      <c r="L41" s="20"/>
    </row>
    <row r="42" ht="22.5" hidden="1" customHeight="1">
      <c r="A42" s="7">
        <v>42.0</v>
      </c>
      <c r="B42" s="7" t="s">
        <v>8</v>
      </c>
      <c r="C42" s="7" t="s">
        <v>127</v>
      </c>
      <c r="D42" s="8" t="s">
        <v>132</v>
      </c>
      <c r="E42" s="7" t="str">
        <f t="shared" si="2"/>
        <v>Strategic</v>
      </c>
      <c r="F42" s="7" t="s">
        <v>29</v>
      </c>
      <c r="G42" s="8" t="s">
        <v>24</v>
      </c>
      <c r="H42" s="8" t="s">
        <v>131</v>
      </c>
      <c r="I42" s="7" t="s">
        <v>26</v>
      </c>
      <c r="J42" s="9"/>
      <c r="K42" s="7"/>
      <c r="L42" s="20"/>
    </row>
    <row r="43" ht="22.5" hidden="1" customHeight="1">
      <c r="A43" s="7">
        <v>43.0</v>
      </c>
      <c r="B43" s="7" t="s">
        <v>8</v>
      </c>
      <c r="C43" s="7" t="s">
        <v>127</v>
      </c>
      <c r="D43" s="8" t="s">
        <v>133</v>
      </c>
      <c r="E43" s="7" t="str">
        <f t="shared" si="2"/>
        <v>Core</v>
      </c>
      <c r="F43" s="7" t="s">
        <v>23</v>
      </c>
      <c r="G43" s="8" t="s">
        <v>24</v>
      </c>
      <c r="H43" s="8" t="s">
        <v>131</v>
      </c>
      <c r="I43" s="7" t="s">
        <v>26</v>
      </c>
      <c r="J43" s="9"/>
      <c r="K43" s="7"/>
      <c r="L43" s="20"/>
    </row>
    <row r="44" ht="22.5" hidden="1" customHeight="1">
      <c r="A44" s="7">
        <v>44.0</v>
      </c>
      <c r="B44" s="7" t="s">
        <v>8</v>
      </c>
      <c r="C44" s="7" t="s">
        <v>127</v>
      </c>
      <c r="D44" s="8" t="s">
        <v>134</v>
      </c>
      <c r="E44" s="7" t="str">
        <f t="shared" si="2"/>
        <v>Strategic</v>
      </c>
      <c r="F44" s="7" t="s">
        <v>29</v>
      </c>
      <c r="G44" s="8" t="s">
        <v>24</v>
      </c>
      <c r="H44" s="8" t="s">
        <v>131</v>
      </c>
      <c r="I44" s="7" t="s">
        <v>26</v>
      </c>
      <c r="J44" s="9"/>
      <c r="K44" s="7"/>
      <c r="L44" s="20"/>
    </row>
    <row r="45" ht="22.5" hidden="1" customHeight="1">
      <c r="A45" s="7">
        <v>45.0</v>
      </c>
      <c r="B45" s="7" t="s">
        <v>8</v>
      </c>
      <c r="C45" s="7" t="s">
        <v>135</v>
      </c>
      <c r="D45" s="8" t="s">
        <v>136</v>
      </c>
      <c r="E45" s="7" t="str">
        <f t="shared" si="2"/>
        <v>Core</v>
      </c>
      <c r="F45" s="7" t="s">
        <v>23</v>
      </c>
      <c r="G45" s="8" t="s">
        <v>24</v>
      </c>
      <c r="H45" s="8" t="s">
        <v>99</v>
      </c>
      <c r="I45" s="7" t="s">
        <v>26</v>
      </c>
      <c r="J45" s="9"/>
      <c r="K45" s="7"/>
      <c r="L45" s="20"/>
    </row>
    <row r="46" ht="22.5" hidden="1" customHeight="1">
      <c r="A46" s="7">
        <v>46.0</v>
      </c>
      <c r="B46" s="7" t="s">
        <v>7</v>
      </c>
      <c r="C46" s="7" t="s">
        <v>137</v>
      </c>
      <c r="D46" s="8" t="s">
        <v>138</v>
      </c>
      <c r="E46" s="7" t="str">
        <f t="shared" si="2"/>
        <v>Core</v>
      </c>
      <c r="F46" s="7" t="s">
        <v>23</v>
      </c>
      <c r="G46" s="8" t="s">
        <v>24</v>
      </c>
      <c r="H46" s="8" t="s">
        <v>139</v>
      </c>
      <c r="I46" s="7" t="s">
        <v>26</v>
      </c>
      <c r="J46" s="9"/>
      <c r="K46" s="7"/>
      <c r="L46" s="20"/>
    </row>
    <row r="47" ht="22.5" hidden="1" customHeight="1">
      <c r="A47" s="7">
        <v>47.0</v>
      </c>
      <c r="B47" s="7" t="s">
        <v>7</v>
      </c>
      <c r="C47" s="7" t="s">
        <v>140</v>
      </c>
      <c r="D47" s="8" t="s">
        <v>141</v>
      </c>
      <c r="E47" s="7" t="str">
        <f t="shared" si="2"/>
        <v>Core</v>
      </c>
      <c r="F47" s="7" t="s">
        <v>23</v>
      </c>
      <c r="G47" s="8" t="s">
        <v>24</v>
      </c>
      <c r="H47" s="8" t="s">
        <v>142</v>
      </c>
      <c r="I47" s="7" t="s">
        <v>26</v>
      </c>
      <c r="J47" s="9"/>
      <c r="K47" s="7"/>
      <c r="L47" s="20"/>
    </row>
    <row r="48" ht="22.5" hidden="1" customHeight="1">
      <c r="A48" s="7">
        <v>48.0</v>
      </c>
      <c r="B48" s="7" t="s">
        <v>7</v>
      </c>
      <c r="C48" s="7" t="s">
        <v>140</v>
      </c>
      <c r="D48" s="8" t="s">
        <v>143</v>
      </c>
      <c r="E48" s="7" t="str">
        <f t="shared" si="2"/>
        <v>Strategic</v>
      </c>
      <c r="F48" s="7" t="s">
        <v>29</v>
      </c>
      <c r="G48" s="8" t="s">
        <v>24</v>
      </c>
      <c r="H48" s="8" t="s">
        <v>144</v>
      </c>
      <c r="I48" s="7" t="s">
        <v>26</v>
      </c>
      <c r="J48" s="9"/>
      <c r="K48" s="7"/>
      <c r="L48" s="20"/>
    </row>
    <row r="49" ht="22.5" hidden="1" customHeight="1">
      <c r="A49" s="7">
        <v>49.0</v>
      </c>
      <c r="B49" s="7" t="s">
        <v>7</v>
      </c>
      <c r="C49" s="7" t="s">
        <v>81</v>
      </c>
      <c r="D49" s="8" t="s">
        <v>145</v>
      </c>
      <c r="E49" s="7" t="str">
        <f t="shared" si="2"/>
        <v>Core</v>
      </c>
      <c r="F49" s="7" t="s">
        <v>23</v>
      </c>
      <c r="G49" s="8" t="s">
        <v>146</v>
      </c>
      <c r="H49" s="8" t="s">
        <v>147</v>
      </c>
      <c r="I49" s="7" t="s">
        <v>26</v>
      </c>
      <c r="J49" s="9"/>
      <c r="K49" s="7"/>
      <c r="L49" s="20"/>
    </row>
    <row r="50" ht="22.5" hidden="1" customHeight="1">
      <c r="A50" s="7">
        <v>50.0</v>
      </c>
      <c r="B50" s="7" t="s">
        <v>7</v>
      </c>
      <c r="C50" s="7" t="s">
        <v>81</v>
      </c>
      <c r="D50" s="8" t="s">
        <v>148</v>
      </c>
      <c r="E50" s="7" t="str">
        <f t="shared" si="2"/>
        <v>Core</v>
      </c>
      <c r="F50" s="7" t="s">
        <v>23</v>
      </c>
      <c r="G50" s="8" t="s">
        <v>24</v>
      </c>
      <c r="H50" s="8" t="s">
        <v>37</v>
      </c>
      <c r="I50" s="18" t="s">
        <v>90</v>
      </c>
      <c r="J50" s="9"/>
      <c r="K50" s="7"/>
      <c r="L50" s="20"/>
    </row>
    <row r="51" ht="22.5" hidden="1" customHeight="1">
      <c r="A51" s="7">
        <v>51.0</v>
      </c>
      <c r="B51" s="7" t="s">
        <v>7</v>
      </c>
      <c r="C51" s="7" t="s">
        <v>149</v>
      </c>
      <c r="D51" s="8" t="s">
        <v>150</v>
      </c>
      <c r="E51" s="7" t="str">
        <f t="shared" si="2"/>
        <v>Core</v>
      </c>
      <c r="F51" s="7" t="s">
        <v>23</v>
      </c>
      <c r="G51" s="8" t="s">
        <v>151</v>
      </c>
      <c r="H51" s="8" t="s">
        <v>152</v>
      </c>
      <c r="I51" s="7" t="s">
        <v>26</v>
      </c>
      <c r="J51" s="9"/>
      <c r="K51" s="7"/>
      <c r="L51" s="20"/>
    </row>
    <row r="52" ht="22.5" hidden="1" customHeight="1">
      <c r="A52" s="7">
        <v>52.0</v>
      </c>
      <c r="B52" s="7" t="s">
        <v>7</v>
      </c>
      <c r="C52" s="7" t="s">
        <v>137</v>
      </c>
      <c r="D52" s="8" t="s">
        <v>153</v>
      </c>
      <c r="E52" s="7" t="str">
        <f t="shared" si="2"/>
        <v>Core</v>
      </c>
      <c r="F52" s="7" t="s">
        <v>23</v>
      </c>
      <c r="G52" s="8" t="s">
        <v>154</v>
      </c>
      <c r="H52" s="8" t="s">
        <v>155</v>
      </c>
      <c r="I52" s="7" t="s">
        <v>26</v>
      </c>
      <c r="J52" s="9"/>
      <c r="K52" s="7"/>
      <c r="L52" s="20"/>
    </row>
    <row r="53" ht="22.5" hidden="1" customHeight="1">
      <c r="A53" s="7">
        <v>53.0</v>
      </c>
      <c r="B53" s="7" t="s">
        <v>7</v>
      </c>
      <c r="C53" s="7" t="s">
        <v>156</v>
      </c>
      <c r="D53" s="8" t="s">
        <v>157</v>
      </c>
      <c r="E53" s="7" t="str">
        <f t="shared" si="2"/>
        <v>Core</v>
      </c>
      <c r="F53" s="7" t="s">
        <v>23</v>
      </c>
      <c r="G53" s="8" t="s">
        <v>158</v>
      </c>
      <c r="H53" s="8" t="s">
        <v>159</v>
      </c>
      <c r="I53" s="7" t="s">
        <v>26</v>
      </c>
      <c r="J53" s="9"/>
      <c r="K53" s="7"/>
      <c r="L53" s="20"/>
    </row>
    <row r="54" ht="22.5" hidden="1" customHeight="1">
      <c r="A54" s="7">
        <v>54.0</v>
      </c>
      <c r="B54" s="7" t="s">
        <v>7</v>
      </c>
      <c r="C54" s="7" t="s">
        <v>160</v>
      </c>
      <c r="D54" s="8" t="s">
        <v>161</v>
      </c>
      <c r="E54" s="7" t="str">
        <f t="shared" si="2"/>
        <v>Core</v>
      </c>
      <c r="F54" s="7" t="s">
        <v>23</v>
      </c>
      <c r="G54" s="8" t="s">
        <v>162</v>
      </c>
      <c r="H54" s="8" t="s">
        <v>159</v>
      </c>
      <c r="I54" s="7" t="s">
        <v>26</v>
      </c>
      <c r="J54" s="9"/>
      <c r="K54" s="7"/>
      <c r="L54" s="20"/>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4.25"/>
    <col customWidth="1" min="3" max="3" width="46.0"/>
    <col customWidth="1" min="4" max="4" width="38.0"/>
    <col customWidth="1" min="5" max="5" width="157.88"/>
    <col customWidth="1" min="6" max="6" width="25.88"/>
  </cols>
  <sheetData>
    <row r="1" ht="15.75" customHeight="1"/>
    <row r="2" ht="22.5" customHeight="1">
      <c r="B2" s="5" t="s">
        <v>163</v>
      </c>
      <c r="C2" s="5" t="s">
        <v>164</v>
      </c>
      <c r="D2" s="5" t="s">
        <v>165</v>
      </c>
      <c r="E2" s="5" t="s">
        <v>166</v>
      </c>
    </row>
    <row r="3" ht="22.5" customHeight="1">
      <c r="B3" s="7">
        <v>1.0</v>
      </c>
      <c r="C3" s="7" t="s">
        <v>167</v>
      </c>
      <c r="D3" s="9"/>
      <c r="E3" s="21" t="s">
        <v>168</v>
      </c>
    </row>
    <row r="4" ht="22.5" customHeight="1">
      <c r="B4" s="7">
        <v>2.0</v>
      </c>
      <c r="C4" s="7" t="s">
        <v>169</v>
      </c>
      <c r="D4" s="9"/>
      <c r="E4" s="21" t="s">
        <v>168</v>
      </c>
    </row>
    <row r="5" ht="22.5" customHeight="1">
      <c r="B5" s="7">
        <v>3.0</v>
      </c>
      <c r="C5" s="7" t="s">
        <v>170</v>
      </c>
      <c r="D5" s="9"/>
      <c r="E5" s="21" t="s">
        <v>171</v>
      </c>
    </row>
    <row r="6" ht="22.5" customHeight="1">
      <c r="B6" s="7">
        <v>4.0</v>
      </c>
      <c r="C6" s="7" t="s">
        <v>172</v>
      </c>
      <c r="D6" s="9"/>
      <c r="E6" s="21" t="s">
        <v>168</v>
      </c>
    </row>
    <row r="7" ht="22.5" customHeight="1">
      <c r="B7" s="7">
        <v>5.0</v>
      </c>
      <c r="C7" s="7" t="s">
        <v>173</v>
      </c>
      <c r="D7" s="9"/>
      <c r="E7" s="21" t="s">
        <v>168</v>
      </c>
    </row>
    <row r="8" ht="22.5" customHeight="1">
      <c r="B8" s="7">
        <v>6.0</v>
      </c>
      <c r="C8" s="7" t="s">
        <v>174</v>
      </c>
      <c r="D8" s="9"/>
      <c r="E8" s="21" t="s">
        <v>175</v>
      </c>
    </row>
    <row r="9" ht="22.5" customHeight="1">
      <c r="B9" s="7">
        <v>7.0</v>
      </c>
      <c r="C9" s="7" t="s">
        <v>176</v>
      </c>
      <c r="D9" s="9"/>
      <c r="E9" s="21" t="s">
        <v>177</v>
      </c>
    </row>
    <row r="10" ht="22.5" customHeight="1">
      <c r="B10" s="7">
        <v>8.0</v>
      </c>
      <c r="C10" s="8" t="s">
        <v>178</v>
      </c>
      <c r="D10" s="9"/>
      <c r="E10" s="21" t="s">
        <v>179</v>
      </c>
    </row>
    <row r="11" ht="22.5" customHeight="1">
      <c r="B11" s="7">
        <v>9.0</v>
      </c>
      <c r="C11" s="8" t="s">
        <v>180</v>
      </c>
      <c r="D11" s="9"/>
      <c r="E11" s="21" t="s">
        <v>181</v>
      </c>
    </row>
    <row r="12" ht="22.5" customHeight="1">
      <c r="B12" s="7">
        <v>10.0</v>
      </c>
      <c r="C12" s="7" t="s">
        <v>182</v>
      </c>
      <c r="D12" s="9"/>
      <c r="E12" s="21" t="s">
        <v>183</v>
      </c>
    </row>
    <row r="13" ht="22.5" customHeight="1">
      <c r="B13" s="7">
        <v>11.0</v>
      </c>
      <c r="C13" s="7" t="s">
        <v>184</v>
      </c>
      <c r="D13" s="9"/>
      <c r="E13" s="21" t="s">
        <v>185</v>
      </c>
    </row>
    <row r="14" ht="22.5" customHeight="1">
      <c r="B14" s="7">
        <v>12.0</v>
      </c>
      <c r="C14" s="7" t="s">
        <v>186</v>
      </c>
      <c r="D14" s="9"/>
      <c r="E14" s="21" t="s">
        <v>187</v>
      </c>
    </row>
    <row r="15" ht="22.5" customHeight="1">
      <c r="B15" s="7">
        <v>13.0</v>
      </c>
      <c r="C15" s="7" t="s">
        <v>188</v>
      </c>
      <c r="D15" s="9"/>
      <c r="E15" s="21" t="s">
        <v>189</v>
      </c>
    </row>
    <row r="16" ht="22.5" customHeight="1">
      <c r="B16" s="7">
        <v>14.0</v>
      </c>
      <c r="C16" s="7" t="s">
        <v>190</v>
      </c>
      <c r="D16" s="9"/>
      <c r="E16" s="19" t="s">
        <v>191</v>
      </c>
    </row>
    <row r="17" ht="22.5" customHeight="1">
      <c r="B17" s="7">
        <v>15.0</v>
      </c>
      <c r="C17" s="7" t="s">
        <v>192</v>
      </c>
      <c r="D17" s="9"/>
      <c r="E17" s="21" t="s">
        <v>193</v>
      </c>
    </row>
    <row r="18" ht="22.5" customHeight="1">
      <c r="B18" s="7">
        <v>16.0</v>
      </c>
      <c r="C18" s="7" t="s">
        <v>194</v>
      </c>
      <c r="D18" s="9"/>
      <c r="E18" s="21" t="s">
        <v>195</v>
      </c>
    </row>
    <row r="19" ht="22.5" customHeight="1">
      <c r="B19" s="7">
        <v>17.0</v>
      </c>
      <c r="C19" s="7" t="s">
        <v>196</v>
      </c>
      <c r="D19" s="9"/>
      <c r="E19" s="21" t="s">
        <v>197</v>
      </c>
    </row>
    <row r="20" ht="15.75" customHeight="1">
      <c r="C20" s="3"/>
    </row>
    <row r="21" ht="15.75" customHeight="1"/>
    <row r="22" ht="22.5" customHeight="1">
      <c r="B22" s="22" t="s">
        <v>198</v>
      </c>
      <c r="C22" s="5" t="s">
        <v>199</v>
      </c>
      <c r="D22" s="5" t="s">
        <v>200</v>
      </c>
      <c r="E22" s="5" t="s">
        <v>201</v>
      </c>
      <c r="F22" s="5" t="s">
        <v>202</v>
      </c>
    </row>
    <row r="23" ht="22.5" customHeight="1">
      <c r="B23" s="23"/>
      <c r="C23" s="23" t="s">
        <v>203</v>
      </c>
      <c r="D23" s="23" t="s">
        <v>204</v>
      </c>
      <c r="E23" s="23" t="s">
        <v>203</v>
      </c>
      <c r="F23" s="23" t="s">
        <v>204</v>
      </c>
    </row>
    <row r="24" ht="22.5" customHeight="1">
      <c r="B24" s="23" t="s">
        <v>205</v>
      </c>
      <c r="C24" s="23"/>
      <c r="D24" s="23"/>
      <c r="E24" s="23"/>
      <c r="F24" s="23"/>
    </row>
    <row r="25" ht="22.5" customHeight="1">
      <c r="B25" s="23" t="s">
        <v>206</v>
      </c>
      <c r="C25" s="23"/>
      <c r="D25" s="23"/>
      <c r="E25" s="23"/>
      <c r="F25" s="23"/>
    </row>
    <row r="26" ht="22.5" customHeight="1">
      <c r="B26" s="23" t="s">
        <v>207</v>
      </c>
      <c r="C26" s="23"/>
      <c r="D26" s="23"/>
      <c r="E26" s="23"/>
      <c r="F26" s="23"/>
    </row>
    <row r="27" ht="22.5" customHeight="1">
      <c r="B27" s="23"/>
      <c r="C27" s="23" t="s">
        <v>203</v>
      </c>
      <c r="D27" s="23" t="s">
        <v>204</v>
      </c>
      <c r="E27" s="23" t="s">
        <v>203</v>
      </c>
      <c r="F27" s="23" t="s">
        <v>204</v>
      </c>
    </row>
    <row r="28" ht="22.5" customHeight="1">
      <c r="B28" s="23" t="s">
        <v>208</v>
      </c>
      <c r="C28" s="23"/>
      <c r="D28" s="23"/>
      <c r="E28" s="23"/>
      <c r="F28" s="23"/>
    </row>
    <row r="29" ht="22.5" customHeight="1">
      <c r="B29" s="23" t="s">
        <v>209</v>
      </c>
      <c r="C29" s="23"/>
      <c r="D29" s="23"/>
      <c r="E29" s="23"/>
      <c r="F29" s="23"/>
    </row>
    <row r="30" ht="22.5" customHeight="1">
      <c r="B30" s="23" t="s">
        <v>210</v>
      </c>
      <c r="C30" s="23"/>
      <c r="D30" s="23"/>
      <c r="E30" s="23"/>
      <c r="F30" s="23"/>
    </row>
    <row r="31" ht="15.75" customHeight="1"/>
    <row r="32" ht="22.5" customHeight="1">
      <c r="B32" s="24" t="s">
        <v>211</v>
      </c>
      <c r="C32" s="5" t="s">
        <v>199</v>
      </c>
      <c r="D32" s="5" t="s">
        <v>200</v>
      </c>
      <c r="E32" s="5" t="s">
        <v>201</v>
      </c>
      <c r="F32" s="5" t="s">
        <v>202</v>
      </c>
    </row>
    <row r="33" ht="22.5" customHeight="1">
      <c r="B33" s="23"/>
      <c r="C33" s="23" t="s">
        <v>203</v>
      </c>
      <c r="D33" s="23" t="s">
        <v>204</v>
      </c>
      <c r="E33" s="23" t="s">
        <v>203</v>
      </c>
      <c r="F33" s="23" t="s">
        <v>204</v>
      </c>
    </row>
    <row r="34" ht="22.5" customHeight="1">
      <c r="B34" s="23" t="s">
        <v>212</v>
      </c>
      <c r="C34" s="23"/>
      <c r="D34" s="23"/>
      <c r="E34" s="23"/>
      <c r="F34" s="23"/>
    </row>
    <row r="35" ht="22.5" customHeight="1">
      <c r="B35" s="23" t="s">
        <v>213</v>
      </c>
      <c r="C35" s="23"/>
      <c r="D35" s="23"/>
      <c r="E35" s="23"/>
      <c r="F35" s="23"/>
    </row>
    <row r="36" ht="22.5" customHeight="1">
      <c r="B36" s="23" t="s">
        <v>214</v>
      </c>
      <c r="C36" s="23"/>
      <c r="D36" s="23"/>
      <c r="E36" s="23"/>
      <c r="F36" s="23"/>
    </row>
    <row r="37" ht="22.5" customHeight="1">
      <c r="B37" s="23"/>
      <c r="C37" s="23" t="s">
        <v>203</v>
      </c>
      <c r="D37" s="23" t="s">
        <v>204</v>
      </c>
      <c r="E37" s="23" t="s">
        <v>203</v>
      </c>
      <c r="F37" s="23" t="s">
        <v>204</v>
      </c>
    </row>
    <row r="38" ht="22.5" customHeight="1">
      <c r="B38" s="23" t="s">
        <v>215</v>
      </c>
      <c r="C38" s="23"/>
      <c r="D38" s="23"/>
      <c r="E38" s="23"/>
      <c r="F38" s="23"/>
    </row>
    <row r="39" ht="22.5" customHeight="1">
      <c r="B39" s="23" t="s">
        <v>216</v>
      </c>
      <c r="C39" s="23"/>
      <c r="D39" s="23"/>
      <c r="E39" s="23"/>
      <c r="F39" s="23"/>
    </row>
    <row r="40" ht="22.5" customHeight="1">
      <c r="B40" s="23" t="s">
        <v>217</v>
      </c>
      <c r="C40" s="23"/>
      <c r="D40" s="23"/>
      <c r="E40" s="23"/>
      <c r="F40" s="23"/>
    </row>
    <row r="41" ht="15.75" customHeight="1"/>
    <row r="42" ht="22.5" customHeight="1">
      <c r="B42" s="22" t="s">
        <v>218</v>
      </c>
      <c r="C42" s="5" t="s">
        <v>199</v>
      </c>
      <c r="D42" s="5" t="s">
        <v>200</v>
      </c>
      <c r="E42" s="5" t="s">
        <v>201</v>
      </c>
      <c r="F42" s="5" t="s">
        <v>202</v>
      </c>
    </row>
    <row r="43" ht="22.5" customHeight="1">
      <c r="B43" s="23"/>
      <c r="C43" s="23" t="s">
        <v>203</v>
      </c>
      <c r="D43" s="23" t="s">
        <v>204</v>
      </c>
      <c r="E43" s="23" t="s">
        <v>203</v>
      </c>
      <c r="F43" s="23" t="s">
        <v>204</v>
      </c>
    </row>
    <row r="44" ht="22.5" customHeight="1">
      <c r="B44" s="23" t="s">
        <v>219</v>
      </c>
      <c r="C44" s="23"/>
      <c r="D44" s="23"/>
      <c r="E44" s="23"/>
      <c r="F44" s="23"/>
    </row>
    <row r="45" ht="22.5" customHeight="1">
      <c r="B45" s="23" t="s">
        <v>220</v>
      </c>
      <c r="C45" s="23"/>
      <c r="D45" s="23"/>
      <c r="E45" s="23"/>
      <c r="F45" s="23"/>
    </row>
    <row r="46" ht="22.5" customHeight="1">
      <c r="B46" s="23" t="s">
        <v>221</v>
      </c>
      <c r="C46" s="23"/>
      <c r="D46" s="23"/>
      <c r="E46" s="23"/>
      <c r="F46" s="23"/>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3" width="22.63"/>
    <col customWidth="1" min="4" max="4" width="16.13"/>
    <col customWidth="1" min="5" max="5" width="75.75"/>
    <col customWidth="1" min="6" max="6" width="14.63"/>
    <col customWidth="1" min="7" max="8" width="14.13"/>
    <col customWidth="1" min="9" max="9" width="22.63"/>
    <col customWidth="1" hidden="1" min="10" max="10" width="23.0"/>
    <col customWidth="1" min="11" max="11" width="24.75"/>
    <col customWidth="1" min="12" max="12" width="35.25"/>
    <col customWidth="1" min="13" max="13" width="92.38"/>
    <col customWidth="1" min="14" max="15" width="33.88"/>
    <col customWidth="1" min="16" max="16" width="68.75"/>
    <col customWidth="1" min="18" max="18" width="24.88"/>
  </cols>
  <sheetData>
    <row r="1" ht="22.5" customHeight="1">
      <c r="A1" s="4" t="s">
        <v>11</v>
      </c>
      <c r="B1" s="4" t="s">
        <v>2</v>
      </c>
      <c r="C1" s="4" t="s">
        <v>12</v>
      </c>
      <c r="D1" s="4" t="s">
        <v>222</v>
      </c>
      <c r="E1" s="4" t="s">
        <v>13</v>
      </c>
      <c r="F1" s="25" t="s">
        <v>223</v>
      </c>
      <c r="G1" s="25" t="s">
        <v>199</v>
      </c>
      <c r="H1" s="25" t="s">
        <v>201</v>
      </c>
      <c r="I1" s="4" t="s">
        <v>224</v>
      </c>
      <c r="J1" s="4" t="s">
        <v>225</v>
      </c>
      <c r="K1" s="4" t="s">
        <v>226</v>
      </c>
      <c r="L1" s="4" t="s">
        <v>227</v>
      </c>
      <c r="M1" s="4" t="s">
        <v>15</v>
      </c>
      <c r="N1" s="4" t="s">
        <v>228</v>
      </c>
      <c r="O1" s="4" t="s">
        <v>229</v>
      </c>
      <c r="P1" s="5" t="s">
        <v>17</v>
      </c>
      <c r="Q1" s="5" t="s">
        <v>230</v>
      </c>
      <c r="R1" s="26" t="s">
        <v>231</v>
      </c>
      <c r="S1" s="5" t="s">
        <v>232</v>
      </c>
    </row>
    <row r="2" ht="22.5" hidden="1" customHeight="1">
      <c r="A2" s="7">
        <v>1.0</v>
      </c>
      <c r="B2" s="7" t="s">
        <v>6</v>
      </c>
      <c r="C2" s="7" t="s">
        <v>233</v>
      </c>
      <c r="D2" s="7" t="s">
        <v>234</v>
      </c>
      <c r="E2" s="8" t="s">
        <v>235</v>
      </c>
      <c r="F2" s="25" t="s">
        <v>37</v>
      </c>
      <c r="G2" s="25" t="s">
        <v>236</v>
      </c>
      <c r="H2" s="25" t="s">
        <v>236</v>
      </c>
      <c r="I2" s="7" t="s">
        <v>237</v>
      </c>
      <c r="J2" s="27" t="s">
        <v>238</v>
      </c>
      <c r="K2" s="7"/>
      <c r="L2" s="7"/>
      <c r="M2" s="8" t="s">
        <v>239</v>
      </c>
      <c r="N2" s="7" t="s">
        <v>240</v>
      </c>
      <c r="O2" s="8"/>
      <c r="P2" s="7" t="s">
        <v>241</v>
      </c>
      <c r="Q2" s="7">
        <v>2.0</v>
      </c>
      <c r="R2" s="7">
        <v>0.0</v>
      </c>
      <c r="S2" s="7">
        <v>1.0</v>
      </c>
    </row>
    <row r="3" ht="22.5" hidden="1" customHeight="1">
      <c r="A3" s="7">
        <v>2.0</v>
      </c>
      <c r="B3" s="7" t="s">
        <v>6</v>
      </c>
      <c r="C3" s="7" t="s">
        <v>233</v>
      </c>
      <c r="D3" s="7" t="s">
        <v>242</v>
      </c>
      <c r="E3" s="8" t="s">
        <v>243</v>
      </c>
      <c r="F3" s="25" t="s">
        <v>37</v>
      </c>
      <c r="G3" s="25" t="s">
        <v>236</v>
      </c>
      <c r="H3" s="25" t="s">
        <v>236</v>
      </c>
      <c r="I3" s="7" t="s">
        <v>244</v>
      </c>
      <c r="J3" s="28" t="s">
        <v>245</v>
      </c>
      <c r="K3" s="7"/>
      <c r="L3" s="7"/>
      <c r="M3" s="8" t="s">
        <v>246</v>
      </c>
      <c r="N3" s="8" t="s">
        <v>247</v>
      </c>
      <c r="O3" s="8"/>
      <c r="P3" s="7" t="s">
        <v>248</v>
      </c>
      <c r="Q3" s="7">
        <v>6.0</v>
      </c>
      <c r="R3" s="7">
        <v>0.0</v>
      </c>
      <c r="S3" s="7">
        <v>1.0</v>
      </c>
    </row>
    <row r="4" ht="22.5" customHeight="1">
      <c r="A4" s="7">
        <v>3.0</v>
      </c>
      <c r="B4" s="7" t="s">
        <v>6</v>
      </c>
      <c r="C4" s="7" t="s">
        <v>249</v>
      </c>
      <c r="D4" s="7" t="s">
        <v>250</v>
      </c>
      <c r="E4" s="8" t="s">
        <v>251</v>
      </c>
      <c r="F4" s="25" t="s">
        <v>252</v>
      </c>
      <c r="G4" s="25" t="s">
        <v>253</v>
      </c>
      <c r="H4" s="25" t="s">
        <v>254</v>
      </c>
      <c r="I4" s="7" t="s">
        <v>237</v>
      </c>
      <c r="J4" s="29" t="s">
        <v>255</v>
      </c>
      <c r="K4" s="7" t="s">
        <v>256</v>
      </c>
      <c r="L4" s="7" t="s">
        <v>257</v>
      </c>
      <c r="M4" s="8"/>
      <c r="N4" s="7" t="s">
        <v>258</v>
      </c>
      <c r="O4" s="8"/>
      <c r="P4" s="7" t="s">
        <v>259</v>
      </c>
      <c r="Q4" s="7">
        <v>2.0</v>
      </c>
      <c r="R4" s="7">
        <v>0.0</v>
      </c>
      <c r="S4" s="7">
        <v>1.0</v>
      </c>
    </row>
    <row r="5" ht="22.5" customHeight="1">
      <c r="A5" s="7">
        <v>4.0</v>
      </c>
      <c r="B5" s="7" t="s">
        <v>6</v>
      </c>
      <c r="C5" s="7" t="s">
        <v>233</v>
      </c>
      <c r="D5" s="7" t="s">
        <v>250</v>
      </c>
      <c r="E5" s="8" t="s">
        <v>260</v>
      </c>
      <c r="F5" s="25" t="s">
        <v>252</v>
      </c>
      <c r="G5" s="25" t="s">
        <v>253</v>
      </c>
      <c r="H5" s="25" t="s">
        <v>254</v>
      </c>
      <c r="I5" s="7" t="s">
        <v>237</v>
      </c>
      <c r="J5" s="29" t="s">
        <v>261</v>
      </c>
      <c r="K5" s="7" t="s">
        <v>256</v>
      </c>
      <c r="L5" s="7" t="s">
        <v>257</v>
      </c>
      <c r="M5" s="8"/>
      <c r="N5" s="7" t="s">
        <v>258</v>
      </c>
      <c r="O5" s="8"/>
      <c r="P5" s="7" t="s">
        <v>262</v>
      </c>
      <c r="Q5" s="7">
        <v>2.0</v>
      </c>
      <c r="R5" s="7">
        <v>0.0</v>
      </c>
      <c r="S5" s="7">
        <v>1.0</v>
      </c>
    </row>
    <row r="6" ht="22.5" customHeight="1">
      <c r="A6" s="7">
        <v>5.0</v>
      </c>
      <c r="B6" s="7" t="s">
        <v>6</v>
      </c>
      <c r="C6" s="7" t="s">
        <v>233</v>
      </c>
      <c r="D6" s="7" t="s">
        <v>250</v>
      </c>
      <c r="E6" s="30" t="s">
        <v>263</v>
      </c>
      <c r="F6" s="25" t="s">
        <v>252</v>
      </c>
      <c r="G6" s="25" t="s">
        <v>253</v>
      </c>
      <c r="H6" s="25" t="s">
        <v>254</v>
      </c>
      <c r="I6" s="7" t="s">
        <v>264</v>
      </c>
      <c r="J6" s="29" t="s">
        <v>265</v>
      </c>
      <c r="K6" s="7" t="s">
        <v>256</v>
      </c>
      <c r="L6" s="7" t="s">
        <v>257</v>
      </c>
      <c r="M6" s="8"/>
      <c r="N6" s="7" t="s">
        <v>258</v>
      </c>
      <c r="O6" s="8"/>
      <c r="P6" s="7" t="s">
        <v>266</v>
      </c>
      <c r="Q6" s="7">
        <v>2.0</v>
      </c>
      <c r="R6" s="7">
        <v>0.0</v>
      </c>
      <c r="S6" s="7">
        <v>1.0</v>
      </c>
    </row>
    <row r="7" ht="22.5" customHeight="1">
      <c r="A7" s="7">
        <v>6.0</v>
      </c>
      <c r="B7" s="7" t="s">
        <v>6</v>
      </c>
      <c r="C7" s="7" t="s">
        <v>233</v>
      </c>
      <c r="D7" s="7" t="s">
        <v>250</v>
      </c>
      <c r="E7" s="8" t="s">
        <v>267</v>
      </c>
      <c r="F7" s="25" t="s">
        <v>268</v>
      </c>
      <c r="G7" s="25" t="s">
        <v>253</v>
      </c>
      <c r="H7" s="25" t="s">
        <v>254</v>
      </c>
      <c r="I7" s="7" t="s">
        <v>264</v>
      </c>
      <c r="J7" s="29" t="s">
        <v>269</v>
      </c>
      <c r="K7" s="7" t="s">
        <v>256</v>
      </c>
      <c r="L7" s="7" t="s">
        <v>257</v>
      </c>
      <c r="M7" s="8"/>
      <c r="N7" s="7" t="s">
        <v>258</v>
      </c>
      <c r="O7" s="8"/>
      <c r="P7" s="7" t="s">
        <v>270</v>
      </c>
      <c r="Q7" s="7">
        <v>2.0</v>
      </c>
      <c r="R7" s="7">
        <v>0.0</v>
      </c>
      <c r="S7" s="7">
        <v>1.0</v>
      </c>
    </row>
    <row r="8" ht="22.5" customHeight="1">
      <c r="A8" s="7">
        <v>7.0</v>
      </c>
      <c r="B8" s="7" t="s">
        <v>6</v>
      </c>
      <c r="C8" s="7" t="s">
        <v>233</v>
      </c>
      <c r="D8" s="7" t="s">
        <v>250</v>
      </c>
      <c r="E8" s="7" t="s">
        <v>271</v>
      </c>
      <c r="F8" s="31" t="s">
        <v>268</v>
      </c>
      <c r="G8" s="25" t="s">
        <v>253</v>
      </c>
      <c r="H8" s="25" t="s">
        <v>254</v>
      </c>
      <c r="I8" s="7" t="s">
        <v>264</v>
      </c>
      <c r="J8" s="29" t="s">
        <v>272</v>
      </c>
      <c r="K8" s="7" t="s">
        <v>256</v>
      </c>
      <c r="L8" s="7" t="s">
        <v>257</v>
      </c>
      <c r="M8" s="8"/>
      <c r="N8" s="7" t="s">
        <v>258</v>
      </c>
      <c r="O8" s="8"/>
      <c r="P8" s="7" t="s">
        <v>273</v>
      </c>
      <c r="Q8" s="7">
        <v>2.0</v>
      </c>
      <c r="R8" s="7">
        <v>0.0</v>
      </c>
      <c r="S8" s="7">
        <v>1.0</v>
      </c>
    </row>
    <row r="9" ht="22.5" hidden="1" customHeight="1">
      <c r="A9" s="7">
        <v>8.0</v>
      </c>
      <c r="B9" s="7" t="s">
        <v>6</v>
      </c>
      <c r="C9" s="7" t="s">
        <v>233</v>
      </c>
      <c r="D9" s="7" t="s">
        <v>4</v>
      </c>
      <c r="E9" s="7" t="s">
        <v>274</v>
      </c>
      <c r="F9" s="31" t="s">
        <v>37</v>
      </c>
      <c r="G9" s="25" t="s">
        <v>236</v>
      </c>
      <c r="H9" s="25" t="s">
        <v>236</v>
      </c>
      <c r="I9" s="7" t="s">
        <v>264</v>
      </c>
      <c r="J9" s="28" t="s">
        <v>275</v>
      </c>
      <c r="K9" s="7" t="s">
        <v>276</v>
      </c>
      <c r="L9" s="7" t="s">
        <v>24</v>
      </c>
      <c r="M9" s="8" t="s">
        <v>277</v>
      </c>
      <c r="N9" s="7" t="s">
        <v>278</v>
      </c>
      <c r="O9" s="8"/>
      <c r="P9" s="7" t="s">
        <v>279</v>
      </c>
      <c r="Q9" s="7">
        <v>1.0</v>
      </c>
      <c r="R9" s="7">
        <v>0.0</v>
      </c>
      <c r="S9" s="7">
        <v>1.0</v>
      </c>
    </row>
    <row r="10" ht="22.5" hidden="1" customHeight="1">
      <c r="A10" s="7">
        <v>9.0</v>
      </c>
      <c r="B10" s="7" t="s">
        <v>6</v>
      </c>
      <c r="C10" s="7" t="s">
        <v>233</v>
      </c>
      <c r="D10" s="7" t="s">
        <v>4</v>
      </c>
      <c r="E10" s="8" t="s">
        <v>280</v>
      </c>
      <c r="F10" s="25" t="s">
        <v>37</v>
      </c>
      <c r="G10" s="25" t="s">
        <v>236</v>
      </c>
      <c r="H10" s="25" t="s">
        <v>236</v>
      </c>
      <c r="I10" s="7" t="s">
        <v>281</v>
      </c>
      <c r="J10" s="8"/>
      <c r="K10" s="7" t="s">
        <v>276</v>
      </c>
      <c r="L10" s="7" t="s">
        <v>256</v>
      </c>
      <c r="M10" s="8" t="s">
        <v>282</v>
      </c>
      <c r="N10" s="32"/>
      <c r="O10" s="8"/>
      <c r="P10" s="7" t="s">
        <v>283</v>
      </c>
      <c r="Q10" s="7">
        <v>1.0</v>
      </c>
      <c r="R10" s="7">
        <v>0.0</v>
      </c>
      <c r="S10" s="7">
        <v>1.0</v>
      </c>
    </row>
    <row r="11" ht="22.5" hidden="1" customHeight="1">
      <c r="A11" s="7">
        <v>10.0</v>
      </c>
      <c r="B11" s="7" t="s">
        <v>6</v>
      </c>
      <c r="C11" s="7" t="s">
        <v>284</v>
      </c>
      <c r="D11" s="7" t="s">
        <v>234</v>
      </c>
      <c r="E11" s="8" t="s">
        <v>285</v>
      </c>
      <c r="F11" s="25" t="s">
        <v>37</v>
      </c>
      <c r="G11" s="25" t="s">
        <v>236</v>
      </c>
      <c r="H11" s="25" t="s">
        <v>236</v>
      </c>
      <c r="I11" s="7" t="s">
        <v>237</v>
      </c>
      <c r="J11" s="27" t="s">
        <v>238</v>
      </c>
      <c r="K11" s="7"/>
      <c r="L11" s="7"/>
      <c r="M11" s="8" t="s">
        <v>286</v>
      </c>
      <c r="N11" s="7" t="s">
        <v>240</v>
      </c>
      <c r="O11" s="8"/>
      <c r="P11" s="7" t="s">
        <v>287</v>
      </c>
      <c r="Q11" s="7">
        <v>2.0</v>
      </c>
      <c r="R11" s="7">
        <v>0.0</v>
      </c>
      <c r="S11" s="7">
        <v>1.0</v>
      </c>
    </row>
    <row r="12" ht="22.5" hidden="1" customHeight="1">
      <c r="A12" s="7">
        <v>11.0</v>
      </c>
      <c r="B12" s="7" t="s">
        <v>6</v>
      </c>
      <c r="C12" s="7" t="s">
        <v>284</v>
      </c>
      <c r="D12" s="7" t="s">
        <v>242</v>
      </c>
      <c r="E12" s="7" t="s">
        <v>288</v>
      </c>
      <c r="F12" s="7" t="s">
        <v>37</v>
      </c>
      <c r="G12" s="25" t="s">
        <v>236</v>
      </c>
      <c r="H12" s="25" t="s">
        <v>236</v>
      </c>
      <c r="I12" s="7" t="s">
        <v>244</v>
      </c>
      <c r="J12" s="8" t="s">
        <v>289</v>
      </c>
      <c r="K12" s="9"/>
      <c r="L12" s="9"/>
      <c r="M12" s="7" t="s">
        <v>290</v>
      </c>
      <c r="N12" s="7" t="s">
        <v>291</v>
      </c>
      <c r="O12" s="9"/>
      <c r="P12" s="7" t="s">
        <v>292</v>
      </c>
      <c r="Q12" s="7">
        <v>6.0</v>
      </c>
      <c r="R12" s="7">
        <v>0.0</v>
      </c>
      <c r="S12" s="7">
        <v>1.0</v>
      </c>
      <c r="T12" s="33"/>
      <c r="U12" s="33"/>
      <c r="V12" s="33"/>
      <c r="W12" s="33"/>
      <c r="X12" s="33"/>
      <c r="Y12" s="33"/>
      <c r="Z12" s="33"/>
      <c r="AA12" s="33"/>
      <c r="AB12" s="33"/>
      <c r="AC12" s="33"/>
      <c r="AD12" s="33"/>
      <c r="AE12" s="33"/>
      <c r="AF12" s="33"/>
      <c r="AG12" s="33"/>
      <c r="AH12" s="33"/>
      <c r="AI12" s="33"/>
    </row>
    <row r="13" ht="22.5" customHeight="1">
      <c r="A13" s="7">
        <v>12.0</v>
      </c>
      <c r="B13" s="7" t="s">
        <v>6</v>
      </c>
      <c r="C13" s="7" t="s">
        <v>284</v>
      </c>
      <c r="D13" s="7" t="s">
        <v>250</v>
      </c>
      <c r="E13" s="8" t="s">
        <v>293</v>
      </c>
      <c r="F13" s="25" t="s">
        <v>294</v>
      </c>
      <c r="G13" s="25" t="s">
        <v>253</v>
      </c>
      <c r="H13" s="25" t="s">
        <v>254</v>
      </c>
      <c r="I13" s="7" t="s">
        <v>237</v>
      </c>
      <c r="J13" s="8" t="s">
        <v>295</v>
      </c>
      <c r="K13" s="7" t="s">
        <v>256</v>
      </c>
      <c r="L13" s="7" t="s">
        <v>257</v>
      </c>
      <c r="M13" s="8"/>
      <c r="N13" s="7" t="s">
        <v>258</v>
      </c>
      <c r="O13" s="8"/>
      <c r="P13" s="7" t="s">
        <v>296</v>
      </c>
      <c r="Q13" s="7">
        <v>2.0</v>
      </c>
      <c r="R13" s="7">
        <v>0.0</v>
      </c>
      <c r="S13" s="7">
        <v>1.0</v>
      </c>
    </row>
    <row r="14" ht="22.5" customHeight="1">
      <c r="A14" s="7">
        <v>13.0</v>
      </c>
      <c r="B14" s="7" t="s">
        <v>6</v>
      </c>
      <c r="C14" s="7" t="s">
        <v>284</v>
      </c>
      <c r="D14" s="7" t="s">
        <v>250</v>
      </c>
      <c r="E14" s="8" t="s">
        <v>297</v>
      </c>
      <c r="F14" s="25" t="s">
        <v>294</v>
      </c>
      <c r="G14" s="25" t="s">
        <v>253</v>
      </c>
      <c r="H14" s="25" t="s">
        <v>254</v>
      </c>
      <c r="I14" s="7" t="s">
        <v>237</v>
      </c>
      <c r="J14" s="8" t="s">
        <v>298</v>
      </c>
      <c r="K14" s="7" t="s">
        <v>256</v>
      </c>
      <c r="L14" s="7" t="s">
        <v>257</v>
      </c>
      <c r="M14" s="8"/>
      <c r="N14" s="7" t="s">
        <v>258</v>
      </c>
      <c r="O14" s="8"/>
      <c r="P14" s="7" t="s">
        <v>299</v>
      </c>
      <c r="Q14" s="7">
        <v>2.0</v>
      </c>
      <c r="R14" s="7">
        <v>0.0</v>
      </c>
      <c r="S14" s="7">
        <v>1.0</v>
      </c>
    </row>
    <row r="15" ht="22.5" customHeight="1">
      <c r="A15" s="7">
        <v>14.0</v>
      </c>
      <c r="B15" s="7" t="s">
        <v>6</v>
      </c>
      <c r="C15" s="7" t="s">
        <v>284</v>
      </c>
      <c r="D15" s="7" t="s">
        <v>250</v>
      </c>
      <c r="E15" s="8" t="s">
        <v>300</v>
      </c>
      <c r="F15" s="25" t="s">
        <v>294</v>
      </c>
      <c r="G15" s="25" t="s">
        <v>253</v>
      </c>
      <c r="H15" s="25" t="s">
        <v>254</v>
      </c>
      <c r="I15" s="7" t="s">
        <v>237</v>
      </c>
      <c r="J15" s="8" t="s">
        <v>298</v>
      </c>
      <c r="K15" s="7" t="s">
        <v>256</v>
      </c>
      <c r="L15" s="7" t="s">
        <v>257</v>
      </c>
      <c r="M15" s="8"/>
      <c r="N15" s="7" t="s">
        <v>258</v>
      </c>
      <c r="O15" s="8"/>
      <c r="P15" s="7" t="s">
        <v>301</v>
      </c>
      <c r="Q15" s="7">
        <v>2.0</v>
      </c>
      <c r="R15" s="7">
        <v>0.0</v>
      </c>
      <c r="S15" s="7">
        <v>1.0</v>
      </c>
    </row>
    <row r="16" ht="22.5" customHeight="1">
      <c r="A16" s="7">
        <v>15.0</v>
      </c>
      <c r="B16" s="7" t="s">
        <v>6</v>
      </c>
      <c r="C16" s="7" t="s">
        <v>284</v>
      </c>
      <c r="D16" s="7" t="s">
        <v>250</v>
      </c>
      <c r="E16" s="8" t="s">
        <v>302</v>
      </c>
      <c r="F16" s="25" t="s">
        <v>294</v>
      </c>
      <c r="G16" s="25" t="s">
        <v>253</v>
      </c>
      <c r="H16" s="25" t="s">
        <v>254</v>
      </c>
      <c r="I16" s="7" t="s">
        <v>237</v>
      </c>
      <c r="J16" s="8" t="s">
        <v>298</v>
      </c>
      <c r="K16" s="7" t="s">
        <v>256</v>
      </c>
      <c r="L16" s="7" t="s">
        <v>257</v>
      </c>
      <c r="M16" s="8"/>
      <c r="N16" s="7" t="s">
        <v>258</v>
      </c>
      <c r="O16" s="8"/>
      <c r="P16" s="7" t="s">
        <v>303</v>
      </c>
      <c r="Q16" s="7">
        <v>2.0</v>
      </c>
      <c r="R16" s="7">
        <v>0.0</v>
      </c>
      <c r="S16" s="7">
        <v>1.0</v>
      </c>
    </row>
    <row r="17" ht="22.5" customHeight="1">
      <c r="A17" s="7">
        <v>16.0</v>
      </c>
      <c r="B17" s="7" t="s">
        <v>6</v>
      </c>
      <c r="C17" s="7" t="s">
        <v>284</v>
      </c>
      <c r="D17" s="7" t="s">
        <v>250</v>
      </c>
      <c r="E17" s="8" t="s">
        <v>304</v>
      </c>
      <c r="F17" s="25" t="s">
        <v>294</v>
      </c>
      <c r="G17" s="25" t="s">
        <v>253</v>
      </c>
      <c r="H17" s="25" t="s">
        <v>254</v>
      </c>
      <c r="I17" s="7" t="s">
        <v>237</v>
      </c>
      <c r="J17" s="8" t="s">
        <v>298</v>
      </c>
      <c r="K17" s="7" t="s">
        <v>256</v>
      </c>
      <c r="L17" s="7" t="s">
        <v>257</v>
      </c>
      <c r="M17" s="8"/>
      <c r="N17" s="7" t="s">
        <v>258</v>
      </c>
      <c r="O17" s="8"/>
      <c r="P17" s="7" t="s">
        <v>305</v>
      </c>
      <c r="Q17" s="7">
        <v>2.0</v>
      </c>
      <c r="R17" s="7">
        <v>0.0</v>
      </c>
      <c r="S17" s="7">
        <v>1.0</v>
      </c>
    </row>
    <row r="18" ht="22.5" hidden="1" customHeight="1">
      <c r="A18" s="7">
        <v>17.0</v>
      </c>
      <c r="B18" s="7" t="s">
        <v>6</v>
      </c>
      <c r="C18" s="7" t="s">
        <v>284</v>
      </c>
      <c r="D18" s="7" t="s">
        <v>4</v>
      </c>
      <c r="E18" s="7" t="s">
        <v>306</v>
      </c>
      <c r="F18" s="25" t="s">
        <v>37</v>
      </c>
      <c r="G18" s="25" t="s">
        <v>236</v>
      </c>
      <c r="H18" s="25" t="s">
        <v>236</v>
      </c>
      <c r="I18" s="7" t="s">
        <v>281</v>
      </c>
      <c r="J18" s="8"/>
      <c r="K18" s="7" t="s">
        <v>276</v>
      </c>
      <c r="L18" s="7" t="s">
        <v>24</v>
      </c>
      <c r="M18" s="8" t="s">
        <v>307</v>
      </c>
      <c r="N18" s="7" t="s">
        <v>278</v>
      </c>
      <c r="O18" s="8"/>
      <c r="P18" s="7" t="s">
        <v>308</v>
      </c>
      <c r="Q18" s="7">
        <v>2.0</v>
      </c>
      <c r="R18" s="7">
        <v>0.0</v>
      </c>
      <c r="S18" s="7">
        <v>1.0</v>
      </c>
    </row>
    <row r="19" ht="22.5" hidden="1" customHeight="1">
      <c r="A19" s="7">
        <v>18.0</v>
      </c>
      <c r="B19" s="7" t="s">
        <v>6</v>
      </c>
      <c r="C19" s="7" t="s">
        <v>284</v>
      </c>
      <c r="D19" s="7" t="s">
        <v>4</v>
      </c>
      <c r="E19" s="7" t="s">
        <v>309</v>
      </c>
      <c r="F19" s="25" t="s">
        <v>37</v>
      </c>
      <c r="G19" s="25" t="s">
        <v>236</v>
      </c>
      <c r="H19" s="25" t="s">
        <v>236</v>
      </c>
      <c r="I19" s="7" t="s">
        <v>237</v>
      </c>
      <c r="J19" s="8"/>
      <c r="K19" s="7" t="s">
        <v>276</v>
      </c>
      <c r="L19" s="7" t="s">
        <v>24</v>
      </c>
      <c r="M19" s="8" t="s">
        <v>310</v>
      </c>
      <c r="N19" s="7" t="s">
        <v>278</v>
      </c>
      <c r="O19" s="8"/>
      <c r="P19" s="7" t="s">
        <v>311</v>
      </c>
      <c r="Q19" s="7">
        <v>1.0</v>
      </c>
      <c r="R19" s="7">
        <v>0.0</v>
      </c>
      <c r="S19" s="7">
        <v>1.0</v>
      </c>
    </row>
    <row r="20" ht="22.5" hidden="1" customHeight="1">
      <c r="A20" s="7">
        <v>19.0</v>
      </c>
      <c r="B20" s="7" t="s">
        <v>6</v>
      </c>
      <c r="C20" s="7" t="s">
        <v>284</v>
      </c>
      <c r="D20" s="7" t="s">
        <v>4</v>
      </c>
      <c r="E20" s="7" t="s">
        <v>312</v>
      </c>
      <c r="F20" s="25" t="s">
        <v>37</v>
      </c>
      <c r="G20" s="25" t="s">
        <v>236</v>
      </c>
      <c r="H20" s="25" t="s">
        <v>236</v>
      </c>
      <c r="I20" s="7" t="s">
        <v>264</v>
      </c>
      <c r="J20" s="34" t="s">
        <v>313</v>
      </c>
      <c r="K20" s="7" t="s">
        <v>276</v>
      </c>
      <c r="L20" s="7" t="s">
        <v>24</v>
      </c>
      <c r="M20" s="8" t="s">
        <v>277</v>
      </c>
      <c r="N20" s="7" t="s">
        <v>278</v>
      </c>
      <c r="O20" s="8"/>
      <c r="P20" s="7" t="s">
        <v>314</v>
      </c>
      <c r="Q20" s="7">
        <v>1.0</v>
      </c>
      <c r="R20" s="7">
        <v>0.0</v>
      </c>
      <c r="S20" s="7">
        <v>1.0</v>
      </c>
    </row>
    <row r="21" ht="22.5" hidden="1" customHeight="1">
      <c r="A21" s="7">
        <v>20.0</v>
      </c>
      <c r="B21" s="7" t="s">
        <v>6</v>
      </c>
      <c r="C21" s="7" t="s">
        <v>284</v>
      </c>
      <c r="D21" s="7" t="s">
        <v>4</v>
      </c>
      <c r="E21" s="8" t="s">
        <v>315</v>
      </c>
      <c r="F21" s="25" t="s">
        <v>37</v>
      </c>
      <c r="G21" s="25" t="s">
        <v>236</v>
      </c>
      <c r="H21" s="25" t="s">
        <v>236</v>
      </c>
      <c r="I21" s="7" t="s">
        <v>281</v>
      </c>
      <c r="J21" s="27" t="s">
        <v>316</v>
      </c>
      <c r="K21" s="7" t="s">
        <v>276</v>
      </c>
      <c r="L21" s="7" t="s">
        <v>24</v>
      </c>
      <c r="M21" s="8" t="s">
        <v>310</v>
      </c>
      <c r="N21" s="7" t="s">
        <v>278</v>
      </c>
      <c r="O21" s="8"/>
      <c r="P21" s="7" t="s">
        <v>317</v>
      </c>
      <c r="Q21" s="7">
        <v>1.0</v>
      </c>
      <c r="R21" s="7">
        <v>0.0</v>
      </c>
      <c r="S21" s="7">
        <v>1.0</v>
      </c>
    </row>
    <row r="22" ht="22.5" hidden="1" customHeight="1">
      <c r="A22" s="7">
        <v>21.0</v>
      </c>
      <c r="B22" s="7" t="s">
        <v>6</v>
      </c>
      <c r="C22" s="7" t="s">
        <v>318</v>
      </c>
      <c r="D22" s="7" t="s">
        <v>234</v>
      </c>
      <c r="E22" s="8" t="s">
        <v>319</v>
      </c>
      <c r="F22" s="25" t="s">
        <v>37</v>
      </c>
      <c r="G22" s="25" t="s">
        <v>236</v>
      </c>
      <c r="H22" s="25" t="s">
        <v>236</v>
      </c>
      <c r="I22" s="35" t="s">
        <v>237</v>
      </c>
      <c r="J22" s="27" t="s">
        <v>238</v>
      </c>
      <c r="K22" s="7"/>
      <c r="L22" s="7"/>
      <c r="M22" s="8" t="s">
        <v>320</v>
      </c>
      <c r="N22" s="7" t="s">
        <v>240</v>
      </c>
      <c r="O22" s="8"/>
      <c r="P22" s="7" t="s">
        <v>321</v>
      </c>
      <c r="Q22" s="7">
        <v>2.0</v>
      </c>
      <c r="R22" s="7">
        <v>0.0</v>
      </c>
      <c r="S22" s="7">
        <v>1.0</v>
      </c>
    </row>
    <row r="23" ht="22.5" hidden="1" customHeight="1">
      <c r="A23" s="7">
        <v>22.0</v>
      </c>
      <c r="B23" s="7" t="s">
        <v>6</v>
      </c>
      <c r="C23" s="7" t="s">
        <v>318</v>
      </c>
      <c r="D23" s="7" t="s">
        <v>242</v>
      </c>
      <c r="E23" s="8" t="s">
        <v>322</v>
      </c>
      <c r="F23" s="25" t="s">
        <v>37</v>
      </c>
      <c r="G23" s="25" t="s">
        <v>236</v>
      </c>
      <c r="H23" s="25" t="s">
        <v>236</v>
      </c>
      <c r="I23" s="7" t="s">
        <v>237</v>
      </c>
      <c r="J23" s="27" t="s">
        <v>323</v>
      </c>
      <c r="K23" s="7"/>
      <c r="L23" s="7"/>
      <c r="M23" s="8" t="s">
        <v>324</v>
      </c>
      <c r="N23" s="8" t="s">
        <v>325</v>
      </c>
      <c r="O23" s="8"/>
      <c r="P23" s="7" t="s">
        <v>326</v>
      </c>
      <c r="Q23" s="7">
        <v>9.0</v>
      </c>
      <c r="R23" s="7">
        <v>0.0</v>
      </c>
      <c r="S23" s="7">
        <v>1.0</v>
      </c>
    </row>
    <row r="24" ht="22.5" customHeight="1">
      <c r="A24" s="7">
        <v>23.0</v>
      </c>
      <c r="B24" s="7" t="s">
        <v>6</v>
      </c>
      <c r="C24" s="7" t="s">
        <v>318</v>
      </c>
      <c r="D24" s="7" t="s">
        <v>250</v>
      </c>
      <c r="E24" s="8" t="s">
        <v>327</v>
      </c>
      <c r="F24" s="25" t="s">
        <v>328</v>
      </c>
      <c r="G24" s="25" t="s">
        <v>253</v>
      </c>
      <c r="H24" s="25" t="s">
        <v>254</v>
      </c>
      <c r="I24" s="35" t="s">
        <v>237</v>
      </c>
      <c r="J24" s="27" t="s">
        <v>329</v>
      </c>
      <c r="K24" s="7" t="s">
        <v>256</v>
      </c>
      <c r="L24" s="7" t="s">
        <v>257</v>
      </c>
      <c r="M24" s="8"/>
      <c r="N24" s="7" t="s">
        <v>258</v>
      </c>
      <c r="O24" s="8"/>
      <c r="P24" s="7" t="s">
        <v>330</v>
      </c>
      <c r="Q24" s="7">
        <v>2.0</v>
      </c>
      <c r="R24" s="7">
        <v>0.0</v>
      </c>
      <c r="S24" s="7">
        <v>1.0</v>
      </c>
    </row>
    <row r="25" ht="22.5" customHeight="1">
      <c r="A25" s="7">
        <v>24.0</v>
      </c>
      <c r="B25" s="7" t="s">
        <v>6</v>
      </c>
      <c r="C25" s="7" t="s">
        <v>318</v>
      </c>
      <c r="D25" s="7" t="s">
        <v>250</v>
      </c>
      <c r="E25" s="8" t="s">
        <v>331</v>
      </c>
      <c r="F25" s="25" t="s">
        <v>328</v>
      </c>
      <c r="G25" s="25" t="s">
        <v>253</v>
      </c>
      <c r="H25" s="25" t="s">
        <v>254</v>
      </c>
      <c r="I25" s="7" t="s">
        <v>264</v>
      </c>
      <c r="J25" s="27" t="s">
        <v>332</v>
      </c>
      <c r="K25" s="7" t="s">
        <v>256</v>
      </c>
      <c r="L25" s="7" t="s">
        <v>257</v>
      </c>
      <c r="M25" s="8"/>
      <c r="N25" s="7" t="s">
        <v>258</v>
      </c>
      <c r="O25" s="8"/>
      <c r="P25" s="7" t="s">
        <v>333</v>
      </c>
      <c r="Q25" s="7">
        <v>2.0</v>
      </c>
      <c r="R25" s="7">
        <v>0.0</v>
      </c>
      <c r="S25" s="7">
        <v>1.0</v>
      </c>
    </row>
    <row r="26" ht="22.5" customHeight="1">
      <c r="A26" s="7">
        <v>25.0</v>
      </c>
      <c r="B26" s="7" t="s">
        <v>6</v>
      </c>
      <c r="C26" s="7" t="s">
        <v>318</v>
      </c>
      <c r="D26" s="7" t="s">
        <v>250</v>
      </c>
      <c r="E26" s="8" t="s">
        <v>334</v>
      </c>
      <c r="F26" s="25" t="s">
        <v>328</v>
      </c>
      <c r="G26" s="25" t="s">
        <v>253</v>
      </c>
      <c r="H26" s="25" t="s">
        <v>254</v>
      </c>
      <c r="I26" s="7" t="s">
        <v>264</v>
      </c>
      <c r="J26" s="27" t="s">
        <v>335</v>
      </c>
      <c r="K26" s="7" t="s">
        <v>256</v>
      </c>
      <c r="L26" s="7" t="s">
        <v>257</v>
      </c>
      <c r="M26" s="8"/>
      <c r="N26" s="7" t="s">
        <v>258</v>
      </c>
      <c r="O26" s="8"/>
      <c r="P26" s="7" t="s">
        <v>336</v>
      </c>
      <c r="Q26" s="7">
        <v>2.0</v>
      </c>
      <c r="R26" s="7">
        <v>0.0</v>
      </c>
      <c r="S26" s="7">
        <v>1.0</v>
      </c>
    </row>
    <row r="27" ht="22.5" customHeight="1">
      <c r="A27" s="7">
        <v>26.0</v>
      </c>
      <c r="B27" s="7" t="s">
        <v>6</v>
      </c>
      <c r="C27" s="7" t="s">
        <v>318</v>
      </c>
      <c r="D27" s="7" t="s">
        <v>250</v>
      </c>
      <c r="E27" s="8" t="s">
        <v>337</v>
      </c>
      <c r="F27" s="25" t="s">
        <v>328</v>
      </c>
      <c r="G27" s="25" t="s">
        <v>253</v>
      </c>
      <c r="H27" s="25" t="s">
        <v>254</v>
      </c>
      <c r="I27" s="7" t="s">
        <v>264</v>
      </c>
      <c r="J27" s="27" t="s">
        <v>338</v>
      </c>
      <c r="K27" s="7" t="s">
        <v>256</v>
      </c>
      <c r="L27" s="7" t="s">
        <v>257</v>
      </c>
      <c r="M27" s="8"/>
      <c r="N27" s="7" t="s">
        <v>258</v>
      </c>
      <c r="O27" s="8"/>
      <c r="P27" s="7" t="s">
        <v>339</v>
      </c>
      <c r="Q27" s="7">
        <v>2.0</v>
      </c>
      <c r="R27" s="7">
        <v>0.0</v>
      </c>
      <c r="S27" s="7">
        <v>1.0</v>
      </c>
    </row>
    <row r="28" ht="22.5" customHeight="1">
      <c r="A28" s="7">
        <v>27.0</v>
      </c>
      <c r="B28" s="7" t="s">
        <v>6</v>
      </c>
      <c r="C28" s="7" t="s">
        <v>318</v>
      </c>
      <c r="D28" s="7" t="s">
        <v>250</v>
      </c>
      <c r="E28" s="8" t="s">
        <v>340</v>
      </c>
      <c r="F28" s="25" t="s">
        <v>328</v>
      </c>
      <c r="G28" s="25" t="s">
        <v>253</v>
      </c>
      <c r="H28" s="25" t="s">
        <v>254</v>
      </c>
      <c r="I28" s="7" t="s">
        <v>264</v>
      </c>
      <c r="J28" s="27" t="s">
        <v>341</v>
      </c>
      <c r="K28" s="7" t="s">
        <v>256</v>
      </c>
      <c r="L28" s="7" t="s">
        <v>257</v>
      </c>
      <c r="M28" s="8"/>
      <c r="N28" s="7" t="s">
        <v>258</v>
      </c>
      <c r="O28" s="8"/>
      <c r="P28" s="7" t="s">
        <v>342</v>
      </c>
      <c r="Q28" s="7">
        <v>2.0</v>
      </c>
      <c r="R28" s="7">
        <v>0.0</v>
      </c>
      <c r="S28" s="7">
        <v>1.0</v>
      </c>
    </row>
    <row r="29" ht="22.5" customHeight="1">
      <c r="A29" s="7">
        <v>28.0</v>
      </c>
      <c r="B29" s="7" t="s">
        <v>6</v>
      </c>
      <c r="C29" s="7" t="s">
        <v>318</v>
      </c>
      <c r="D29" s="7" t="s">
        <v>250</v>
      </c>
      <c r="E29" s="8" t="s">
        <v>343</v>
      </c>
      <c r="F29" s="25" t="s">
        <v>328</v>
      </c>
      <c r="G29" s="25" t="s">
        <v>253</v>
      </c>
      <c r="H29" s="25" t="s">
        <v>254</v>
      </c>
      <c r="I29" s="7" t="s">
        <v>264</v>
      </c>
      <c r="J29" s="27" t="s">
        <v>344</v>
      </c>
      <c r="K29" s="7" t="s">
        <v>256</v>
      </c>
      <c r="L29" s="7" t="s">
        <v>257</v>
      </c>
      <c r="M29" s="8"/>
      <c r="N29" s="7" t="s">
        <v>258</v>
      </c>
      <c r="O29" s="8"/>
      <c r="P29" s="7" t="s">
        <v>345</v>
      </c>
      <c r="Q29" s="7">
        <v>2.0</v>
      </c>
      <c r="R29" s="7">
        <v>0.0</v>
      </c>
      <c r="S29" s="7">
        <v>1.0</v>
      </c>
    </row>
    <row r="30" ht="22.5" customHeight="1">
      <c r="A30" s="7">
        <v>29.0</v>
      </c>
      <c r="B30" s="7" t="s">
        <v>6</v>
      </c>
      <c r="C30" s="7" t="s">
        <v>318</v>
      </c>
      <c r="D30" s="7" t="s">
        <v>250</v>
      </c>
      <c r="E30" s="8" t="s">
        <v>346</v>
      </c>
      <c r="F30" s="25" t="s">
        <v>328</v>
      </c>
      <c r="G30" s="25" t="s">
        <v>253</v>
      </c>
      <c r="H30" s="25" t="s">
        <v>254</v>
      </c>
      <c r="I30" s="7" t="s">
        <v>264</v>
      </c>
      <c r="J30" s="27" t="s">
        <v>347</v>
      </c>
      <c r="K30" s="7" t="s">
        <v>256</v>
      </c>
      <c r="L30" s="7" t="s">
        <v>257</v>
      </c>
      <c r="M30" s="8"/>
      <c r="N30" s="7" t="s">
        <v>258</v>
      </c>
      <c r="O30" s="8"/>
      <c r="P30" s="7" t="s">
        <v>348</v>
      </c>
      <c r="Q30" s="7">
        <v>2.0</v>
      </c>
      <c r="R30" s="7">
        <v>0.0</v>
      </c>
      <c r="S30" s="7">
        <v>1.0</v>
      </c>
    </row>
    <row r="31" ht="22.5" customHeight="1">
      <c r="A31" s="7">
        <v>30.0</v>
      </c>
      <c r="B31" s="7" t="s">
        <v>6</v>
      </c>
      <c r="C31" s="7" t="s">
        <v>318</v>
      </c>
      <c r="D31" s="7" t="s">
        <v>250</v>
      </c>
      <c r="E31" s="8" t="s">
        <v>349</v>
      </c>
      <c r="F31" s="25" t="s">
        <v>328</v>
      </c>
      <c r="G31" s="25" t="s">
        <v>253</v>
      </c>
      <c r="H31" s="25" t="s">
        <v>254</v>
      </c>
      <c r="I31" s="7" t="s">
        <v>264</v>
      </c>
      <c r="J31" s="27" t="s">
        <v>350</v>
      </c>
      <c r="K31" s="7" t="s">
        <v>256</v>
      </c>
      <c r="L31" s="7" t="s">
        <v>257</v>
      </c>
      <c r="M31" s="8"/>
      <c r="N31" s="7" t="s">
        <v>258</v>
      </c>
      <c r="O31" s="8"/>
      <c r="P31" s="7" t="s">
        <v>351</v>
      </c>
      <c r="Q31" s="7">
        <v>2.0</v>
      </c>
      <c r="R31" s="7">
        <v>0.0</v>
      </c>
      <c r="S31" s="7">
        <v>1.0</v>
      </c>
    </row>
    <row r="32" ht="22.5" customHeight="1">
      <c r="A32" s="7">
        <v>31.0</v>
      </c>
      <c r="B32" s="7" t="s">
        <v>6</v>
      </c>
      <c r="C32" s="7" t="s">
        <v>318</v>
      </c>
      <c r="D32" s="7" t="s">
        <v>250</v>
      </c>
      <c r="E32" s="8" t="s">
        <v>352</v>
      </c>
      <c r="F32" s="25" t="s">
        <v>328</v>
      </c>
      <c r="G32" s="25" t="s">
        <v>253</v>
      </c>
      <c r="H32" s="25" t="s">
        <v>254</v>
      </c>
      <c r="I32" s="7" t="s">
        <v>264</v>
      </c>
      <c r="J32" s="27" t="s">
        <v>329</v>
      </c>
      <c r="K32" s="7" t="s">
        <v>256</v>
      </c>
      <c r="L32" s="7" t="s">
        <v>257</v>
      </c>
      <c r="M32" s="8"/>
      <c r="N32" s="7" t="s">
        <v>258</v>
      </c>
      <c r="O32" s="8"/>
      <c r="P32" s="7" t="s">
        <v>353</v>
      </c>
      <c r="Q32" s="7">
        <v>2.0</v>
      </c>
      <c r="R32" s="7">
        <v>0.0</v>
      </c>
      <c r="S32" s="7">
        <v>1.0</v>
      </c>
    </row>
    <row r="33" ht="22.5" customHeight="1">
      <c r="A33" s="7">
        <v>32.0</v>
      </c>
      <c r="B33" s="7" t="s">
        <v>6</v>
      </c>
      <c r="C33" s="7" t="s">
        <v>318</v>
      </c>
      <c r="D33" s="7" t="s">
        <v>250</v>
      </c>
      <c r="E33" s="8" t="s">
        <v>354</v>
      </c>
      <c r="F33" s="25" t="s">
        <v>328</v>
      </c>
      <c r="G33" s="25" t="s">
        <v>253</v>
      </c>
      <c r="H33" s="25" t="s">
        <v>254</v>
      </c>
      <c r="I33" s="7" t="s">
        <v>264</v>
      </c>
      <c r="J33" s="27" t="s">
        <v>329</v>
      </c>
      <c r="K33" s="7" t="s">
        <v>256</v>
      </c>
      <c r="L33" s="7" t="s">
        <v>257</v>
      </c>
      <c r="M33" s="8"/>
      <c r="N33" s="7" t="s">
        <v>258</v>
      </c>
      <c r="O33" s="8"/>
      <c r="P33" s="7" t="s">
        <v>355</v>
      </c>
      <c r="Q33" s="7">
        <v>2.0</v>
      </c>
      <c r="R33" s="7">
        <v>0.0</v>
      </c>
      <c r="S33" s="7">
        <v>1.0</v>
      </c>
    </row>
    <row r="34" ht="22.5" customHeight="1">
      <c r="A34" s="7">
        <v>33.0</v>
      </c>
      <c r="B34" s="7" t="s">
        <v>6</v>
      </c>
      <c r="C34" s="7" t="s">
        <v>318</v>
      </c>
      <c r="D34" s="7" t="s">
        <v>250</v>
      </c>
      <c r="E34" s="8" t="s">
        <v>356</v>
      </c>
      <c r="F34" s="25" t="s">
        <v>328</v>
      </c>
      <c r="G34" s="25" t="s">
        <v>253</v>
      </c>
      <c r="H34" s="25" t="s">
        <v>254</v>
      </c>
      <c r="I34" s="7" t="s">
        <v>264</v>
      </c>
      <c r="J34" s="27" t="s">
        <v>329</v>
      </c>
      <c r="K34" s="7" t="s">
        <v>256</v>
      </c>
      <c r="L34" s="7" t="s">
        <v>257</v>
      </c>
      <c r="M34" s="8"/>
      <c r="N34" s="7" t="s">
        <v>258</v>
      </c>
      <c r="O34" s="8"/>
      <c r="P34" s="7" t="s">
        <v>357</v>
      </c>
      <c r="Q34" s="7">
        <v>2.0</v>
      </c>
      <c r="R34" s="7">
        <v>0.0</v>
      </c>
      <c r="S34" s="7">
        <v>1.0</v>
      </c>
    </row>
    <row r="35" ht="22.5" customHeight="1">
      <c r="A35" s="7">
        <v>34.0</v>
      </c>
      <c r="B35" s="7" t="s">
        <v>6</v>
      </c>
      <c r="C35" s="7" t="s">
        <v>318</v>
      </c>
      <c r="D35" s="7" t="s">
        <v>250</v>
      </c>
      <c r="E35" s="8" t="s">
        <v>358</v>
      </c>
      <c r="F35" s="25" t="s">
        <v>328</v>
      </c>
      <c r="G35" s="25" t="s">
        <v>253</v>
      </c>
      <c r="H35" s="25" t="s">
        <v>254</v>
      </c>
      <c r="I35" s="7" t="s">
        <v>264</v>
      </c>
      <c r="J35" s="27" t="s">
        <v>329</v>
      </c>
      <c r="K35" s="7" t="s">
        <v>256</v>
      </c>
      <c r="L35" s="7" t="s">
        <v>257</v>
      </c>
      <c r="M35" s="8"/>
      <c r="N35" s="7" t="s">
        <v>258</v>
      </c>
      <c r="O35" s="8"/>
      <c r="P35" s="7" t="s">
        <v>359</v>
      </c>
      <c r="Q35" s="7">
        <v>2.0</v>
      </c>
      <c r="R35" s="7">
        <v>0.0</v>
      </c>
      <c r="S35" s="7">
        <v>1.0</v>
      </c>
    </row>
    <row r="36" ht="22.5" customHeight="1">
      <c r="A36" s="7">
        <v>35.0</v>
      </c>
      <c r="B36" s="7" t="s">
        <v>6</v>
      </c>
      <c r="C36" s="7" t="s">
        <v>318</v>
      </c>
      <c r="D36" s="7" t="s">
        <v>250</v>
      </c>
      <c r="E36" s="8" t="s">
        <v>360</v>
      </c>
      <c r="F36" s="25" t="s">
        <v>328</v>
      </c>
      <c r="G36" s="25" t="s">
        <v>253</v>
      </c>
      <c r="H36" s="25" t="s">
        <v>254</v>
      </c>
      <c r="I36" s="7" t="s">
        <v>264</v>
      </c>
      <c r="J36" s="27" t="s">
        <v>329</v>
      </c>
      <c r="K36" s="7" t="s">
        <v>256</v>
      </c>
      <c r="L36" s="7" t="s">
        <v>257</v>
      </c>
      <c r="M36" s="8"/>
      <c r="N36" s="7" t="s">
        <v>258</v>
      </c>
      <c r="O36" s="8"/>
      <c r="P36" s="7" t="s">
        <v>361</v>
      </c>
      <c r="Q36" s="7">
        <v>2.0</v>
      </c>
      <c r="R36" s="7">
        <v>0.0</v>
      </c>
      <c r="S36" s="7">
        <v>1.0</v>
      </c>
    </row>
    <row r="37" ht="22.5" hidden="1" customHeight="1">
      <c r="A37" s="7">
        <v>36.0</v>
      </c>
      <c r="B37" s="7" t="s">
        <v>6</v>
      </c>
      <c r="C37" s="7" t="s">
        <v>318</v>
      </c>
      <c r="D37" s="7" t="s">
        <v>4</v>
      </c>
      <c r="E37" s="7" t="s">
        <v>362</v>
      </c>
      <c r="F37" s="31" t="s">
        <v>37</v>
      </c>
      <c r="G37" s="25" t="s">
        <v>236</v>
      </c>
      <c r="H37" s="25" t="s">
        <v>236</v>
      </c>
      <c r="I37" s="7" t="s">
        <v>237</v>
      </c>
      <c r="J37" s="36" t="s">
        <v>363</v>
      </c>
      <c r="K37" s="7" t="s">
        <v>276</v>
      </c>
      <c r="L37" s="7" t="s">
        <v>24</v>
      </c>
      <c r="M37" s="8" t="s">
        <v>277</v>
      </c>
      <c r="N37" s="7" t="s">
        <v>278</v>
      </c>
      <c r="O37" s="8"/>
      <c r="P37" s="7" t="s">
        <v>364</v>
      </c>
      <c r="Q37" s="7">
        <v>1.0</v>
      </c>
      <c r="R37" s="7">
        <v>0.0</v>
      </c>
      <c r="S37" s="7">
        <v>1.0</v>
      </c>
    </row>
    <row r="38" ht="22.5" hidden="1" customHeight="1">
      <c r="A38" s="7">
        <v>37.0</v>
      </c>
      <c r="B38" s="7" t="s">
        <v>6</v>
      </c>
      <c r="C38" s="7" t="s">
        <v>318</v>
      </c>
      <c r="D38" s="7" t="s">
        <v>4</v>
      </c>
      <c r="E38" s="7" t="s">
        <v>365</v>
      </c>
      <c r="F38" s="31" t="s">
        <v>37</v>
      </c>
      <c r="G38" s="25" t="s">
        <v>236</v>
      </c>
      <c r="H38" s="25" t="s">
        <v>236</v>
      </c>
      <c r="I38" s="7" t="s">
        <v>281</v>
      </c>
      <c r="J38" s="36" t="s">
        <v>363</v>
      </c>
      <c r="K38" s="7" t="s">
        <v>276</v>
      </c>
      <c r="L38" s="7" t="s">
        <v>24</v>
      </c>
      <c r="M38" s="8" t="s">
        <v>307</v>
      </c>
      <c r="N38" s="7" t="s">
        <v>278</v>
      </c>
      <c r="O38" s="8"/>
      <c r="P38" s="7" t="s">
        <v>366</v>
      </c>
      <c r="Q38" s="7">
        <v>2.0</v>
      </c>
      <c r="R38" s="7">
        <v>0.0</v>
      </c>
      <c r="S38" s="7">
        <v>1.0</v>
      </c>
    </row>
    <row r="39" ht="22.5" hidden="1" customHeight="1">
      <c r="A39" s="7">
        <v>38.0</v>
      </c>
      <c r="B39" s="7" t="s">
        <v>6</v>
      </c>
      <c r="C39" s="7" t="s">
        <v>367</v>
      </c>
      <c r="D39" s="7" t="s">
        <v>234</v>
      </c>
      <c r="E39" s="8" t="s">
        <v>368</v>
      </c>
      <c r="F39" s="25" t="s">
        <v>37</v>
      </c>
      <c r="G39" s="25" t="s">
        <v>236</v>
      </c>
      <c r="H39" s="25" t="s">
        <v>236</v>
      </c>
      <c r="I39" s="7" t="s">
        <v>237</v>
      </c>
      <c r="J39" s="27" t="s">
        <v>238</v>
      </c>
      <c r="K39" s="7"/>
      <c r="L39" s="7"/>
      <c r="M39" s="8" t="s">
        <v>369</v>
      </c>
      <c r="N39" s="7" t="s">
        <v>240</v>
      </c>
      <c r="O39" s="8"/>
      <c r="P39" s="7" t="s">
        <v>370</v>
      </c>
      <c r="Q39" s="7">
        <v>2.0</v>
      </c>
      <c r="R39" s="7">
        <v>0.0</v>
      </c>
      <c r="S39" s="7">
        <v>1.0</v>
      </c>
    </row>
    <row r="40" ht="22.5" hidden="1" customHeight="1">
      <c r="A40" s="7">
        <v>39.0</v>
      </c>
      <c r="B40" s="7" t="s">
        <v>6</v>
      </c>
      <c r="C40" s="7" t="s">
        <v>367</v>
      </c>
      <c r="D40" s="7" t="s">
        <v>242</v>
      </c>
      <c r="E40" s="8" t="s">
        <v>371</v>
      </c>
      <c r="F40" s="25" t="s">
        <v>37</v>
      </c>
      <c r="G40" s="25" t="s">
        <v>236</v>
      </c>
      <c r="H40" s="25" t="s">
        <v>236</v>
      </c>
      <c r="I40" s="7" t="s">
        <v>237</v>
      </c>
      <c r="J40" s="36" t="s">
        <v>245</v>
      </c>
      <c r="K40" s="7"/>
      <c r="L40" s="7"/>
      <c r="M40" s="8" t="s">
        <v>372</v>
      </c>
      <c r="N40" s="8" t="s">
        <v>373</v>
      </c>
      <c r="O40" s="8"/>
      <c r="P40" s="7" t="s">
        <v>374</v>
      </c>
      <c r="Q40" s="7">
        <v>4.0</v>
      </c>
      <c r="R40" s="7">
        <v>0.0</v>
      </c>
      <c r="S40" s="7">
        <v>1.0</v>
      </c>
    </row>
    <row r="41" ht="22.5" hidden="1" customHeight="1">
      <c r="A41" s="7">
        <v>40.0</v>
      </c>
      <c r="B41" s="7" t="s">
        <v>6</v>
      </c>
      <c r="C41" s="7" t="s">
        <v>367</v>
      </c>
      <c r="D41" s="7" t="s">
        <v>242</v>
      </c>
      <c r="E41" s="8" t="s">
        <v>375</v>
      </c>
      <c r="F41" s="25" t="s">
        <v>37</v>
      </c>
      <c r="G41" s="25" t="s">
        <v>236</v>
      </c>
      <c r="H41" s="25" t="s">
        <v>236</v>
      </c>
      <c r="I41" s="7" t="s">
        <v>237</v>
      </c>
      <c r="J41" s="36" t="s">
        <v>376</v>
      </c>
      <c r="K41" s="7"/>
      <c r="L41" s="7"/>
      <c r="M41" s="37" t="s">
        <v>377</v>
      </c>
      <c r="N41" s="8" t="s">
        <v>378</v>
      </c>
      <c r="O41" s="8"/>
      <c r="P41" s="7" t="s">
        <v>379</v>
      </c>
      <c r="Q41" s="7">
        <v>7.0</v>
      </c>
      <c r="R41" s="7">
        <v>0.0</v>
      </c>
      <c r="S41" s="7">
        <v>1.0</v>
      </c>
    </row>
    <row r="42" ht="22.5" hidden="1" customHeight="1">
      <c r="A42" s="7">
        <v>41.0</v>
      </c>
      <c r="B42" s="7" t="s">
        <v>6</v>
      </c>
      <c r="C42" s="7" t="s">
        <v>367</v>
      </c>
      <c r="D42" s="7" t="s">
        <v>242</v>
      </c>
      <c r="E42" s="8" t="s">
        <v>380</v>
      </c>
      <c r="F42" s="25" t="s">
        <v>37</v>
      </c>
      <c r="G42" s="25" t="s">
        <v>236</v>
      </c>
      <c r="H42" s="25" t="s">
        <v>236</v>
      </c>
      <c r="I42" s="7" t="s">
        <v>237</v>
      </c>
      <c r="J42" s="8"/>
      <c r="K42" s="7"/>
      <c r="L42" s="7"/>
      <c r="M42" s="37" t="s">
        <v>381</v>
      </c>
      <c r="N42" s="8" t="s">
        <v>382</v>
      </c>
      <c r="O42" s="8"/>
      <c r="P42" s="7" t="s">
        <v>383</v>
      </c>
      <c r="Q42" s="7">
        <v>6.0</v>
      </c>
      <c r="R42" s="7">
        <v>0.0</v>
      </c>
      <c r="S42" s="7">
        <v>1.0</v>
      </c>
    </row>
    <row r="43" ht="22.5" customHeight="1">
      <c r="A43" s="7">
        <v>42.0</v>
      </c>
      <c r="B43" s="7" t="s">
        <v>6</v>
      </c>
      <c r="C43" s="7" t="s">
        <v>367</v>
      </c>
      <c r="D43" s="7" t="s">
        <v>250</v>
      </c>
      <c r="E43" s="7" t="s">
        <v>384</v>
      </c>
      <c r="F43" s="31" t="s">
        <v>385</v>
      </c>
      <c r="G43" s="25" t="s">
        <v>253</v>
      </c>
      <c r="H43" s="25" t="s">
        <v>254</v>
      </c>
      <c r="I43" s="35" t="s">
        <v>237</v>
      </c>
      <c r="J43" s="34" t="s">
        <v>386</v>
      </c>
      <c r="K43" s="7" t="s">
        <v>256</v>
      </c>
      <c r="L43" s="7" t="s">
        <v>257</v>
      </c>
      <c r="M43" s="9"/>
      <c r="N43" s="7" t="s">
        <v>258</v>
      </c>
      <c r="O43" s="8"/>
      <c r="P43" s="7" t="s">
        <v>387</v>
      </c>
      <c r="Q43" s="7">
        <v>2.0</v>
      </c>
      <c r="R43" s="7">
        <v>0.0</v>
      </c>
      <c r="S43" s="7">
        <v>1.0</v>
      </c>
    </row>
    <row r="44" ht="22.5" customHeight="1">
      <c r="A44" s="7">
        <v>43.0</v>
      </c>
      <c r="B44" s="7" t="s">
        <v>6</v>
      </c>
      <c r="C44" s="7" t="s">
        <v>367</v>
      </c>
      <c r="D44" s="7" t="s">
        <v>250</v>
      </c>
      <c r="E44" s="7" t="s">
        <v>388</v>
      </c>
      <c r="F44" s="31" t="s">
        <v>385</v>
      </c>
      <c r="G44" s="25" t="s">
        <v>253</v>
      </c>
      <c r="H44" s="25" t="s">
        <v>254</v>
      </c>
      <c r="I44" s="35" t="s">
        <v>237</v>
      </c>
      <c r="J44" s="34" t="s">
        <v>386</v>
      </c>
      <c r="K44" s="7" t="s">
        <v>256</v>
      </c>
      <c r="L44" s="7" t="s">
        <v>257</v>
      </c>
      <c r="M44" s="9"/>
      <c r="N44" s="7" t="s">
        <v>258</v>
      </c>
      <c r="O44" s="8"/>
      <c r="P44" s="7" t="s">
        <v>389</v>
      </c>
      <c r="Q44" s="7">
        <v>2.0</v>
      </c>
      <c r="R44" s="7">
        <v>0.0</v>
      </c>
      <c r="S44" s="7">
        <v>1.0</v>
      </c>
    </row>
    <row r="45" ht="22.5" customHeight="1">
      <c r="A45" s="7">
        <v>44.0</v>
      </c>
      <c r="B45" s="7" t="s">
        <v>6</v>
      </c>
      <c r="C45" s="7" t="s">
        <v>367</v>
      </c>
      <c r="D45" s="7" t="s">
        <v>250</v>
      </c>
      <c r="E45" s="8" t="s">
        <v>390</v>
      </c>
      <c r="F45" s="31" t="s">
        <v>385</v>
      </c>
      <c r="G45" s="25" t="s">
        <v>253</v>
      </c>
      <c r="H45" s="25" t="s">
        <v>254</v>
      </c>
      <c r="I45" s="35" t="s">
        <v>237</v>
      </c>
      <c r="J45" s="36" t="s">
        <v>391</v>
      </c>
      <c r="K45" s="7" t="s">
        <v>256</v>
      </c>
      <c r="L45" s="7" t="s">
        <v>257</v>
      </c>
      <c r="M45" s="8"/>
      <c r="N45" s="7" t="s">
        <v>258</v>
      </c>
      <c r="O45" s="8"/>
      <c r="P45" s="7" t="s">
        <v>392</v>
      </c>
      <c r="Q45" s="7">
        <v>2.0</v>
      </c>
      <c r="R45" s="7">
        <v>0.0</v>
      </c>
      <c r="S45" s="7">
        <v>1.0</v>
      </c>
    </row>
    <row r="46" ht="22.5" customHeight="1">
      <c r="A46" s="7">
        <v>45.0</v>
      </c>
      <c r="B46" s="7" t="s">
        <v>6</v>
      </c>
      <c r="C46" s="7" t="s">
        <v>367</v>
      </c>
      <c r="D46" s="7" t="s">
        <v>250</v>
      </c>
      <c r="E46" s="7" t="s">
        <v>393</v>
      </c>
      <c r="F46" s="31" t="s">
        <v>385</v>
      </c>
      <c r="G46" s="25" t="s">
        <v>253</v>
      </c>
      <c r="H46" s="25" t="s">
        <v>254</v>
      </c>
      <c r="I46" s="7" t="s">
        <v>244</v>
      </c>
      <c r="J46" s="8"/>
      <c r="K46" s="7" t="s">
        <v>256</v>
      </c>
      <c r="L46" s="7" t="s">
        <v>257</v>
      </c>
      <c r="M46" s="8"/>
      <c r="N46" s="7" t="s">
        <v>258</v>
      </c>
      <c r="O46" s="8"/>
      <c r="P46" s="7" t="s">
        <v>394</v>
      </c>
      <c r="Q46" s="7">
        <v>2.0</v>
      </c>
      <c r="R46" s="7">
        <v>0.0</v>
      </c>
      <c r="S46" s="7">
        <v>1.0</v>
      </c>
    </row>
    <row r="47" ht="22.5" customHeight="1">
      <c r="A47" s="7">
        <v>46.0</v>
      </c>
      <c r="B47" s="7" t="s">
        <v>6</v>
      </c>
      <c r="C47" s="7" t="s">
        <v>367</v>
      </c>
      <c r="D47" s="7" t="s">
        <v>250</v>
      </c>
      <c r="E47" s="7" t="s">
        <v>395</v>
      </c>
      <c r="F47" s="31" t="s">
        <v>385</v>
      </c>
      <c r="G47" s="25" t="s">
        <v>253</v>
      </c>
      <c r="H47" s="25" t="s">
        <v>254</v>
      </c>
      <c r="I47" s="7" t="s">
        <v>244</v>
      </c>
      <c r="J47" s="8"/>
      <c r="K47" s="7" t="s">
        <v>256</v>
      </c>
      <c r="L47" s="7" t="s">
        <v>257</v>
      </c>
      <c r="M47" s="8"/>
      <c r="N47" s="7" t="s">
        <v>258</v>
      </c>
      <c r="O47" s="8"/>
      <c r="P47" s="7" t="s">
        <v>396</v>
      </c>
      <c r="Q47" s="7">
        <v>2.0</v>
      </c>
      <c r="R47" s="7">
        <v>0.0</v>
      </c>
      <c r="S47" s="7">
        <v>1.0</v>
      </c>
    </row>
    <row r="48" ht="22.5" hidden="1" customHeight="1">
      <c r="A48" s="7">
        <v>47.0</v>
      </c>
      <c r="B48" s="7" t="s">
        <v>6</v>
      </c>
      <c r="C48" s="7" t="s">
        <v>367</v>
      </c>
      <c r="D48" s="7" t="s">
        <v>4</v>
      </c>
      <c r="E48" s="7" t="s">
        <v>397</v>
      </c>
      <c r="F48" s="25" t="s">
        <v>37</v>
      </c>
      <c r="G48" s="25" t="s">
        <v>236</v>
      </c>
      <c r="H48" s="25" t="s">
        <v>236</v>
      </c>
      <c r="I48" s="35" t="s">
        <v>237</v>
      </c>
      <c r="J48" s="8"/>
      <c r="K48" s="7" t="s">
        <v>276</v>
      </c>
      <c r="L48" s="7" t="s">
        <v>256</v>
      </c>
      <c r="M48" s="8" t="s">
        <v>398</v>
      </c>
      <c r="N48" s="7" t="s">
        <v>278</v>
      </c>
      <c r="O48" s="8"/>
      <c r="P48" s="7" t="s">
        <v>399</v>
      </c>
      <c r="Q48" s="7">
        <v>1.0</v>
      </c>
      <c r="R48" s="7">
        <v>0.0</v>
      </c>
      <c r="S48" s="7">
        <v>1.0</v>
      </c>
    </row>
    <row r="49" ht="22.5" hidden="1" customHeight="1">
      <c r="A49" s="7">
        <v>48.0</v>
      </c>
      <c r="B49" s="7" t="s">
        <v>6</v>
      </c>
      <c r="C49" s="7" t="s">
        <v>400</v>
      </c>
      <c r="D49" s="7" t="s">
        <v>234</v>
      </c>
      <c r="E49" s="7" t="s">
        <v>401</v>
      </c>
      <c r="F49" s="9"/>
      <c r="G49" s="25" t="s">
        <v>236</v>
      </c>
      <c r="H49" s="25" t="s">
        <v>236</v>
      </c>
      <c r="I49" s="35" t="s">
        <v>237</v>
      </c>
      <c r="J49" s="36" t="s">
        <v>238</v>
      </c>
      <c r="K49" s="9"/>
      <c r="L49" s="9"/>
      <c r="M49" s="8" t="s">
        <v>402</v>
      </c>
      <c r="N49" s="7" t="s">
        <v>240</v>
      </c>
      <c r="O49" s="9"/>
      <c r="P49" s="7" t="s">
        <v>403</v>
      </c>
      <c r="Q49" s="7">
        <v>2.0</v>
      </c>
      <c r="R49" s="7">
        <v>0.0</v>
      </c>
      <c r="S49" s="7">
        <v>1.0</v>
      </c>
      <c r="T49" s="33"/>
      <c r="U49" s="33"/>
      <c r="V49" s="33"/>
      <c r="W49" s="33"/>
      <c r="X49" s="33"/>
      <c r="Y49" s="33"/>
      <c r="Z49" s="33"/>
      <c r="AA49" s="33"/>
      <c r="AB49" s="33"/>
      <c r="AC49" s="33"/>
      <c r="AD49" s="33"/>
      <c r="AE49" s="33"/>
      <c r="AF49" s="33"/>
      <c r="AG49" s="33"/>
      <c r="AH49" s="33"/>
      <c r="AI49" s="33"/>
    </row>
    <row r="50" ht="22.5" hidden="1" customHeight="1">
      <c r="A50" s="7">
        <v>49.0</v>
      </c>
      <c r="B50" s="7" t="s">
        <v>6</v>
      </c>
      <c r="C50" s="7" t="s">
        <v>400</v>
      </c>
      <c r="D50" s="7" t="s">
        <v>242</v>
      </c>
      <c r="E50" s="7" t="s">
        <v>404</v>
      </c>
      <c r="F50" s="9"/>
      <c r="G50" s="31" t="s">
        <v>236</v>
      </c>
      <c r="H50" s="31" t="s">
        <v>236</v>
      </c>
      <c r="I50" s="35" t="s">
        <v>237</v>
      </c>
      <c r="J50" s="34" t="s">
        <v>245</v>
      </c>
      <c r="K50" s="9"/>
      <c r="L50" s="9"/>
      <c r="M50" s="7" t="s">
        <v>405</v>
      </c>
      <c r="N50" s="7" t="s">
        <v>406</v>
      </c>
      <c r="O50" s="9"/>
      <c r="P50" s="7" t="s">
        <v>407</v>
      </c>
      <c r="Q50" s="7">
        <v>8.0</v>
      </c>
      <c r="R50" s="7">
        <v>0.0</v>
      </c>
      <c r="S50" s="7">
        <v>1.0</v>
      </c>
      <c r="T50" s="33"/>
      <c r="U50" s="33"/>
      <c r="V50" s="33"/>
      <c r="W50" s="33"/>
      <c r="X50" s="33"/>
      <c r="Y50" s="33"/>
      <c r="Z50" s="33"/>
      <c r="AA50" s="33"/>
      <c r="AB50" s="33"/>
      <c r="AC50" s="33"/>
      <c r="AD50" s="33"/>
      <c r="AE50" s="33"/>
      <c r="AF50" s="33"/>
      <c r="AG50" s="33"/>
      <c r="AH50" s="33"/>
      <c r="AI50" s="33"/>
    </row>
    <row r="51" ht="22.5" customHeight="1">
      <c r="A51" s="7">
        <v>50.0</v>
      </c>
      <c r="B51" s="7" t="s">
        <v>6</v>
      </c>
      <c r="C51" s="7" t="s">
        <v>400</v>
      </c>
      <c r="D51" s="7" t="s">
        <v>250</v>
      </c>
      <c r="E51" s="7" t="s">
        <v>408</v>
      </c>
      <c r="F51" s="7" t="s">
        <v>409</v>
      </c>
      <c r="G51" s="25" t="s">
        <v>253</v>
      </c>
      <c r="H51" s="25" t="s">
        <v>254</v>
      </c>
      <c r="I51" s="35" t="s">
        <v>237</v>
      </c>
      <c r="J51" s="36" t="s">
        <v>410</v>
      </c>
      <c r="K51" s="7" t="s">
        <v>256</v>
      </c>
      <c r="L51" s="7" t="s">
        <v>257</v>
      </c>
      <c r="M51" s="9"/>
      <c r="N51" s="7" t="s">
        <v>258</v>
      </c>
      <c r="O51" s="9"/>
      <c r="P51" s="7" t="s">
        <v>411</v>
      </c>
      <c r="Q51" s="7">
        <v>2.0</v>
      </c>
      <c r="R51" s="7">
        <v>0.0</v>
      </c>
      <c r="S51" s="7">
        <v>1.0</v>
      </c>
    </row>
    <row r="52" ht="22.5" customHeight="1">
      <c r="A52" s="7">
        <v>51.0</v>
      </c>
      <c r="B52" s="7" t="s">
        <v>6</v>
      </c>
      <c r="C52" s="7" t="s">
        <v>400</v>
      </c>
      <c r="D52" s="7" t="s">
        <v>250</v>
      </c>
      <c r="E52" s="7" t="s">
        <v>412</v>
      </c>
      <c r="F52" s="7" t="s">
        <v>409</v>
      </c>
      <c r="G52" s="25" t="s">
        <v>253</v>
      </c>
      <c r="H52" s="25" t="s">
        <v>254</v>
      </c>
      <c r="I52" s="35" t="s">
        <v>237</v>
      </c>
      <c r="J52" s="36" t="s">
        <v>410</v>
      </c>
      <c r="K52" s="7" t="s">
        <v>256</v>
      </c>
      <c r="L52" s="7" t="s">
        <v>257</v>
      </c>
      <c r="M52" s="9"/>
      <c r="N52" s="7" t="s">
        <v>258</v>
      </c>
      <c r="O52" s="9"/>
      <c r="P52" s="7" t="s">
        <v>413</v>
      </c>
      <c r="Q52" s="7">
        <v>2.0</v>
      </c>
      <c r="R52" s="7">
        <v>0.0</v>
      </c>
      <c r="S52" s="7">
        <v>1.0</v>
      </c>
    </row>
    <row r="53" ht="22.5" customHeight="1">
      <c r="A53" s="7">
        <v>52.0</v>
      </c>
      <c r="B53" s="7" t="s">
        <v>6</v>
      </c>
      <c r="C53" s="7" t="s">
        <v>400</v>
      </c>
      <c r="D53" s="7" t="s">
        <v>250</v>
      </c>
      <c r="E53" s="8" t="s">
        <v>414</v>
      </c>
      <c r="F53" s="7" t="s">
        <v>409</v>
      </c>
      <c r="G53" s="25" t="s">
        <v>253</v>
      </c>
      <c r="H53" s="25" t="s">
        <v>254</v>
      </c>
      <c r="I53" s="35" t="s">
        <v>237</v>
      </c>
      <c r="J53" s="36" t="s">
        <v>410</v>
      </c>
      <c r="K53" s="7" t="s">
        <v>256</v>
      </c>
      <c r="L53" s="7" t="s">
        <v>257</v>
      </c>
      <c r="M53" s="37"/>
      <c r="N53" s="7" t="s">
        <v>258</v>
      </c>
      <c r="O53" s="8"/>
      <c r="P53" s="7" t="s">
        <v>415</v>
      </c>
      <c r="Q53" s="7">
        <v>2.0</v>
      </c>
      <c r="R53" s="7">
        <v>0.0</v>
      </c>
      <c r="S53" s="7">
        <v>1.0</v>
      </c>
    </row>
    <row r="54" ht="22.5" hidden="1" customHeight="1">
      <c r="A54" s="7">
        <v>53.0</v>
      </c>
      <c r="B54" s="7" t="s">
        <v>6</v>
      </c>
      <c r="C54" s="7" t="s">
        <v>400</v>
      </c>
      <c r="D54" s="7" t="s">
        <v>4</v>
      </c>
      <c r="E54" s="8" t="s">
        <v>416</v>
      </c>
      <c r="F54" s="25" t="s">
        <v>37</v>
      </c>
      <c r="G54" s="25" t="s">
        <v>236</v>
      </c>
      <c r="H54" s="25" t="s">
        <v>236</v>
      </c>
      <c r="I54" s="35" t="s">
        <v>237</v>
      </c>
      <c r="J54" s="34" t="s">
        <v>417</v>
      </c>
      <c r="K54" s="7" t="s">
        <v>276</v>
      </c>
      <c r="L54" s="7" t="s">
        <v>24</v>
      </c>
      <c r="M54" s="8" t="s">
        <v>277</v>
      </c>
      <c r="N54" s="7" t="s">
        <v>278</v>
      </c>
      <c r="O54" s="8"/>
      <c r="P54" s="7" t="s">
        <v>418</v>
      </c>
      <c r="Q54" s="7">
        <v>1.0</v>
      </c>
      <c r="R54" s="7">
        <v>0.0</v>
      </c>
      <c r="S54" s="7">
        <v>1.0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0"/>
    <col customWidth="1" min="3" max="3" width="12.63"/>
    <col customWidth="1" min="4" max="4" width="12.88"/>
    <col customWidth="1" min="5" max="5" width="12.63"/>
    <col customWidth="1" min="6" max="6" width="33.75"/>
    <col customWidth="1" min="7" max="7" width="15.0"/>
    <col customWidth="1" min="8" max="8" width="21.5"/>
    <col customWidth="1" min="11" max="11" width="33.75"/>
  </cols>
  <sheetData>
    <row r="1" ht="15.75" customHeight="1">
      <c r="D1" s="38"/>
    </row>
    <row r="2" ht="15.75" customHeight="1">
      <c r="D2" s="38"/>
      <c r="F2" s="39" t="s">
        <v>6</v>
      </c>
    </row>
    <row r="3" ht="15.75" customHeight="1">
      <c r="B3" s="40" t="s">
        <v>419</v>
      </c>
      <c r="C3" s="41"/>
      <c r="D3" s="42" t="s">
        <v>420</v>
      </c>
    </row>
    <row r="4" ht="15.75" customHeight="1">
      <c r="B4" s="43" t="s">
        <v>6</v>
      </c>
      <c r="C4" s="41" t="s">
        <v>250</v>
      </c>
      <c r="D4" s="44">
        <v>0.6</v>
      </c>
      <c r="I4" s="2">
        <f t="shared" ref="I4:I7" si="1">G4/$G$8</f>
        <v>0.3538461538</v>
      </c>
      <c r="K4" s="3">
        <f>H8+H17+H25</f>
        <v>147</v>
      </c>
    </row>
    <row r="5" ht="15.75" customHeight="1">
      <c r="B5" s="41"/>
      <c r="C5" s="41" t="s">
        <v>242</v>
      </c>
      <c r="D5" s="44">
        <v>0.15</v>
      </c>
      <c r="I5" s="2">
        <f t="shared" si="1"/>
        <v>0.4769230769</v>
      </c>
    </row>
    <row r="6" ht="15.75" customHeight="1">
      <c r="B6" s="41"/>
      <c r="C6" s="41" t="s">
        <v>234</v>
      </c>
      <c r="D6" s="44">
        <v>0.1</v>
      </c>
      <c r="I6" s="2">
        <f t="shared" si="1"/>
        <v>0.07692307692</v>
      </c>
    </row>
    <row r="7" ht="15.75" customHeight="1">
      <c r="B7" s="41"/>
      <c r="C7" s="41" t="s">
        <v>4</v>
      </c>
      <c r="D7" s="44">
        <v>0.15</v>
      </c>
      <c r="I7" s="2">
        <f t="shared" si="1"/>
        <v>0.09230769231</v>
      </c>
      <c r="J7" s="45"/>
    </row>
    <row r="8" ht="15.75" customHeight="1"/>
    <row r="9" ht="15.75" customHeight="1"/>
    <row r="10" ht="15.75" customHeight="1">
      <c r="B10" s="40" t="s">
        <v>423</v>
      </c>
      <c r="C10" s="41"/>
      <c r="D10" s="42" t="s">
        <v>420</v>
      </c>
      <c r="F10" s="39" t="s">
        <v>8</v>
      </c>
    </row>
    <row r="11" ht="15.75" customHeight="1">
      <c r="B11" s="46" t="s">
        <v>8</v>
      </c>
      <c r="C11" s="41" t="s">
        <v>250</v>
      </c>
      <c r="D11" s="44">
        <v>0.4</v>
      </c>
    </row>
    <row r="12" ht="15.75" customHeight="1">
      <c r="B12" s="41"/>
      <c r="C12" s="41" t="s">
        <v>242</v>
      </c>
      <c r="D12" s="44">
        <v>0.3</v>
      </c>
      <c r="I12" s="2">
        <f t="shared" ref="I12:I15" si="2">G12/$G$17</f>
        <v>0.3445945946</v>
      </c>
    </row>
    <row r="13" ht="15.75" customHeight="1">
      <c r="B13" s="41"/>
      <c r="C13" s="41" t="s">
        <v>234</v>
      </c>
      <c r="D13" s="44">
        <v>0.15</v>
      </c>
      <c r="I13" s="2">
        <f t="shared" si="2"/>
        <v>0.4054054054</v>
      </c>
    </row>
    <row r="14" ht="15.75" customHeight="1">
      <c r="B14" s="41"/>
      <c r="C14" s="41" t="s">
        <v>4</v>
      </c>
      <c r="D14" s="44">
        <v>0.15</v>
      </c>
      <c r="I14" s="2">
        <f t="shared" si="2"/>
        <v>0.1216216216</v>
      </c>
    </row>
    <row r="15" ht="15.75" customHeight="1">
      <c r="I15" s="2">
        <f t="shared" si="2"/>
        <v>0.1283783784</v>
      </c>
    </row>
    <row r="16" ht="15.75" customHeight="1"/>
    <row r="17" ht="15.75" customHeight="1"/>
    <row r="18" ht="15.75" customHeight="1"/>
    <row r="19" ht="15.75" customHeight="1">
      <c r="B19" s="40" t="s">
        <v>427</v>
      </c>
      <c r="C19" s="41"/>
      <c r="D19" s="42" t="s">
        <v>420</v>
      </c>
      <c r="F19" s="39" t="s">
        <v>7</v>
      </c>
    </row>
    <row r="20" ht="15.75" customHeight="1">
      <c r="B20" s="47" t="s">
        <v>7</v>
      </c>
      <c r="C20" s="41" t="s">
        <v>250</v>
      </c>
      <c r="D20" s="44">
        <v>0.55</v>
      </c>
    </row>
    <row r="21" ht="15.75" customHeight="1">
      <c r="B21" s="41"/>
      <c r="C21" s="41" t="s">
        <v>242</v>
      </c>
      <c r="D21" s="44">
        <v>0.2</v>
      </c>
      <c r="I21" s="2">
        <f t="shared" ref="I21:I24" si="3">G21/$G$25</f>
        <v>0.2025316456</v>
      </c>
    </row>
    <row r="22" ht="15.75" customHeight="1">
      <c r="B22" s="41"/>
      <c r="C22" s="41" t="s">
        <v>234</v>
      </c>
      <c r="D22" s="44">
        <v>0.2</v>
      </c>
      <c r="I22" s="2">
        <f t="shared" si="3"/>
        <v>0.582278481</v>
      </c>
    </row>
    <row r="23" ht="15.75" customHeight="1">
      <c r="B23" s="41"/>
      <c r="C23" s="41" t="s">
        <v>4</v>
      </c>
      <c r="D23" s="44">
        <v>0.05</v>
      </c>
      <c r="I23" s="2">
        <f t="shared" si="3"/>
        <v>0.1772151899</v>
      </c>
    </row>
    <row r="24" ht="15.75" customHeight="1">
      <c r="I24" s="2">
        <f t="shared" si="3"/>
        <v>0.03797468354</v>
      </c>
    </row>
    <row r="25" ht="15.75" customHeight="1">
      <c r="D25" s="38"/>
    </row>
    <row r="26" ht="15.75" customHeight="1">
      <c r="D26" s="38"/>
    </row>
    <row r="27" ht="15.75" customHeight="1">
      <c r="D27" s="38"/>
    </row>
    <row r="28" ht="15.75" customHeight="1">
      <c r="B28" s="40" t="s">
        <v>429</v>
      </c>
      <c r="C28" s="40" t="s">
        <v>430</v>
      </c>
      <c r="D28" s="38"/>
      <c r="E28" s="3" t="s">
        <v>431</v>
      </c>
    </row>
    <row r="29" ht="15.75" customHeight="1">
      <c r="B29" s="41" t="s">
        <v>432</v>
      </c>
      <c r="C29" s="41" t="s">
        <v>433</v>
      </c>
      <c r="D29" s="38"/>
    </row>
    <row r="30" ht="15.75" customHeight="1">
      <c r="B30" s="41" t="s">
        <v>434</v>
      </c>
      <c r="C30" s="41" t="s">
        <v>435</v>
      </c>
      <c r="D30" s="38"/>
    </row>
    <row r="31" ht="15.75" customHeight="1">
      <c r="B31" s="41" t="s">
        <v>436</v>
      </c>
      <c r="C31" s="41" t="s">
        <v>437</v>
      </c>
      <c r="D31" s="38"/>
    </row>
    <row r="32" ht="15.75" customHeight="1">
      <c r="B32" s="41" t="s">
        <v>438</v>
      </c>
      <c r="C32" s="41" t="s">
        <v>439</v>
      </c>
      <c r="D32" s="38"/>
    </row>
    <row r="33" ht="15.75" customHeight="1">
      <c r="D33" s="38"/>
    </row>
    <row r="34" ht="15.75" customHeight="1">
      <c r="D34" s="38"/>
    </row>
    <row r="35" ht="15.75" customHeight="1">
      <c r="D35" s="38"/>
    </row>
    <row r="36" ht="15.75" customHeight="1">
      <c r="D36" s="38"/>
    </row>
    <row r="37" ht="15.75" customHeight="1">
      <c r="D37" s="38"/>
    </row>
    <row r="38" ht="15.75" customHeight="1">
      <c r="D38" s="38"/>
    </row>
    <row r="39" ht="15.75" customHeight="1">
      <c r="D39" s="38"/>
    </row>
    <row r="40" ht="15.75" customHeight="1">
      <c r="D40" s="38"/>
    </row>
    <row r="41" ht="15.75" customHeight="1">
      <c r="D41" s="38"/>
    </row>
    <row r="42" ht="15.75" customHeight="1">
      <c r="D42" s="38"/>
    </row>
    <row r="43" ht="15.75" customHeight="1">
      <c r="D43" s="38"/>
    </row>
    <row r="44" ht="15.75" customHeight="1">
      <c r="D44" s="38"/>
    </row>
    <row r="45" ht="15.75" customHeight="1">
      <c r="D45" s="38"/>
    </row>
    <row r="46" ht="15.75" customHeight="1">
      <c r="D46" s="38"/>
    </row>
    <row r="47" ht="15.75" customHeight="1">
      <c r="D47" s="38"/>
    </row>
    <row r="48" ht="15.75" customHeight="1">
      <c r="D48" s="38"/>
    </row>
    <row r="49" ht="15.75" customHeight="1">
      <c r="D49" s="38"/>
    </row>
    <row r="50" ht="15.75" customHeight="1">
      <c r="D50" s="38"/>
    </row>
    <row r="51" ht="15.75" customHeight="1">
      <c r="D51" s="38"/>
    </row>
    <row r="52" ht="15.75" customHeight="1">
      <c r="D52" s="38"/>
    </row>
    <row r="53" ht="15.75" customHeight="1">
      <c r="D53" s="38"/>
    </row>
    <row r="54" ht="15.75" customHeight="1">
      <c r="D54" s="38"/>
    </row>
    <row r="55" ht="15.75" customHeight="1">
      <c r="D55" s="38"/>
    </row>
    <row r="56" ht="15.75" customHeight="1">
      <c r="D56" s="38"/>
    </row>
    <row r="57" ht="15.75" customHeight="1">
      <c r="D57" s="38"/>
    </row>
    <row r="58" ht="15.75" customHeight="1">
      <c r="D58" s="38"/>
    </row>
    <row r="59" ht="15.75" customHeight="1">
      <c r="D59" s="38"/>
    </row>
    <row r="60" ht="15.75" customHeight="1">
      <c r="D60" s="38"/>
    </row>
    <row r="61" ht="15.75" customHeight="1">
      <c r="D61" s="38"/>
    </row>
    <row r="62" ht="15.75" customHeight="1">
      <c r="D62" s="38"/>
    </row>
    <row r="63" ht="15.75" customHeight="1">
      <c r="D63" s="38"/>
    </row>
    <row r="64" ht="15.75" customHeight="1">
      <c r="D64" s="38"/>
    </row>
    <row r="65" ht="15.75" customHeight="1">
      <c r="D65" s="38"/>
    </row>
    <row r="66" ht="15.75" customHeight="1">
      <c r="D66" s="38"/>
    </row>
    <row r="67" ht="15.75" customHeight="1">
      <c r="D67" s="38"/>
    </row>
    <row r="68" ht="15.75" customHeight="1">
      <c r="D68" s="38"/>
    </row>
    <row r="69" ht="15.75" customHeight="1">
      <c r="D69" s="38"/>
    </row>
    <row r="70" ht="15.75" customHeight="1">
      <c r="D70" s="38"/>
    </row>
    <row r="71" ht="15.75" customHeight="1">
      <c r="D71" s="38"/>
    </row>
    <row r="72" ht="15.75" customHeight="1">
      <c r="D72" s="38"/>
    </row>
    <row r="73" ht="15.75" customHeight="1">
      <c r="D73" s="38"/>
    </row>
    <row r="74" ht="15.75" customHeight="1">
      <c r="D74" s="38"/>
    </row>
    <row r="75" ht="15.75" customHeight="1">
      <c r="D75" s="38"/>
    </row>
    <row r="76" ht="15.75" customHeight="1">
      <c r="D76" s="38"/>
    </row>
    <row r="77" ht="15.75" customHeight="1">
      <c r="D77" s="38"/>
    </row>
    <row r="78" ht="15.75" customHeight="1">
      <c r="D78" s="38"/>
    </row>
    <row r="79" ht="15.75" customHeight="1">
      <c r="D79" s="38"/>
    </row>
    <row r="80" ht="15.75" customHeight="1">
      <c r="D80" s="38"/>
    </row>
    <row r="81" ht="15.75" customHeight="1">
      <c r="D81" s="38"/>
    </row>
    <row r="82" ht="15.75" customHeight="1">
      <c r="D82" s="38"/>
    </row>
    <row r="83" ht="15.75" customHeight="1">
      <c r="D83" s="38"/>
    </row>
    <row r="84" ht="15.75" customHeight="1">
      <c r="D84" s="38"/>
    </row>
    <row r="85" ht="15.75" customHeight="1">
      <c r="D85" s="38"/>
    </row>
    <row r="86" ht="15.75" customHeight="1">
      <c r="D86" s="38"/>
    </row>
    <row r="87" ht="15.75" customHeight="1">
      <c r="D87" s="38"/>
    </row>
    <row r="88" ht="15.75" customHeight="1">
      <c r="D88" s="38"/>
    </row>
    <row r="89" ht="15.75" customHeight="1">
      <c r="D89" s="38"/>
    </row>
    <row r="90" ht="15.75" customHeight="1">
      <c r="D90" s="38"/>
    </row>
    <row r="91" ht="15.75" customHeight="1">
      <c r="D91" s="38"/>
    </row>
    <row r="92" ht="15.75" customHeight="1">
      <c r="D92" s="38"/>
    </row>
    <row r="93" ht="15.75" customHeight="1">
      <c r="D93" s="38"/>
    </row>
    <row r="94" ht="15.75" customHeight="1">
      <c r="D94" s="38"/>
    </row>
    <row r="95" ht="15.75" customHeight="1">
      <c r="D95" s="38"/>
    </row>
    <row r="96" ht="15.75" customHeight="1">
      <c r="D96" s="38"/>
    </row>
    <row r="97" ht="15.75" customHeight="1">
      <c r="D97" s="38"/>
    </row>
    <row r="98" ht="15.75" customHeight="1">
      <c r="D98" s="38"/>
    </row>
    <row r="99" ht="15.75" customHeight="1">
      <c r="D99" s="38"/>
    </row>
    <row r="100" ht="15.75" customHeight="1">
      <c r="D100" s="38"/>
    </row>
    <row r="101" ht="15.75" customHeight="1">
      <c r="D101" s="38"/>
    </row>
    <row r="102" ht="15.75" customHeight="1">
      <c r="D102" s="38"/>
    </row>
    <row r="103" ht="15.75" customHeight="1">
      <c r="D103" s="38"/>
    </row>
    <row r="104" ht="15.75" customHeight="1">
      <c r="D104" s="38"/>
    </row>
    <row r="105" ht="15.75" customHeight="1">
      <c r="D105" s="38"/>
    </row>
    <row r="106" ht="15.75" customHeight="1">
      <c r="D106" s="38"/>
    </row>
    <row r="107" ht="15.75" customHeight="1">
      <c r="D107" s="38"/>
    </row>
    <row r="108" ht="15.75" customHeight="1">
      <c r="D108" s="38"/>
    </row>
    <row r="109" ht="15.75" customHeight="1">
      <c r="D109" s="38"/>
    </row>
    <row r="110" ht="15.75" customHeight="1">
      <c r="D110" s="38"/>
    </row>
    <row r="111" ht="15.75" customHeight="1">
      <c r="D111" s="38"/>
    </row>
    <row r="112" ht="15.75" customHeight="1">
      <c r="D112" s="38"/>
    </row>
    <row r="113" ht="15.75" customHeight="1">
      <c r="D113" s="38"/>
    </row>
    <row r="114" ht="15.75" customHeight="1">
      <c r="D114" s="38"/>
    </row>
    <row r="115" ht="15.75" customHeight="1">
      <c r="D115" s="38"/>
    </row>
    <row r="116" ht="15.75" customHeight="1">
      <c r="D116" s="38"/>
    </row>
    <row r="117" ht="15.75" customHeight="1">
      <c r="D117" s="38"/>
    </row>
    <row r="118" ht="15.75" customHeight="1">
      <c r="D118" s="38"/>
    </row>
    <row r="119" ht="15.75" customHeight="1">
      <c r="D119" s="38"/>
    </row>
    <row r="120" ht="15.75" customHeight="1">
      <c r="D120" s="38"/>
    </row>
    <row r="121" ht="15.75" customHeight="1">
      <c r="D121" s="38"/>
    </row>
    <row r="122" ht="15.75" customHeight="1">
      <c r="D122" s="38"/>
    </row>
    <row r="123" ht="15.75" customHeight="1">
      <c r="D123" s="38"/>
    </row>
    <row r="124" ht="15.75" customHeight="1">
      <c r="D124" s="38"/>
    </row>
    <row r="125" ht="15.75" customHeight="1">
      <c r="D125" s="38"/>
    </row>
    <row r="126" ht="15.75" customHeight="1">
      <c r="D126" s="38"/>
    </row>
    <row r="127" ht="15.75" customHeight="1">
      <c r="D127" s="38"/>
    </row>
    <row r="128" ht="15.75" customHeight="1">
      <c r="D128" s="38"/>
    </row>
    <row r="129" ht="15.75" customHeight="1">
      <c r="D129" s="38"/>
    </row>
    <row r="130" ht="15.75" customHeight="1">
      <c r="D130" s="38"/>
    </row>
    <row r="131" ht="15.75" customHeight="1">
      <c r="D131" s="38"/>
    </row>
    <row r="132" ht="15.75" customHeight="1">
      <c r="D132" s="38"/>
    </row>
    <row r="133" ht="15.75" customHeight="1">
      <c r="D133" s="38"/>
    </row>
    <row r="134" ht="15.75" customHeight="1">
      <c r="D134" s="38"/>
    </row>
    <row r="135" ht="15.75" customHeight="1">
      <c r="D135" s="38"/>
    </row>
    <row r="136" ht="15.75" customHeight="1">
      <c r="D136" s="38"/>
    </row>
    <row r="137" ht="15.75" customHeight="1">
      <c r="D137" s="38"/>
    </row>
    <row r="138" ht="15.75" customHeight="1">
      <c r="D138" s="38"/>
    </row>
    <row r="139" ht="15.75" customHeight="1">
      <c r="D139" s="38"/>
    </row>
    <row r="140" ht="15.75" customHeight="1">
      <c r="D140" s="38"/>
    </row>
    <row r="141" ht="15.75" customHeight="1">
      <c r="D141" s="38"/>
    </row>
    <row r="142" ht="15.75" customHeight="1">
      <c r="D142" s="38"/>
    </row>
    <row r="143" ht="15.75" customHeight="1">
      <c r="D143" s="38"/>
    </row>
    <row r="144" ht="15.75" customHeight="1">
      <c r="D144" s="38"/>
    </row>
    <row r="145" ht="15.75" customHeight="1">
      <c r="D145" s="38"/>
    </row>
    <row r="146" ht="15.75" customHeight="1">
      <c r="D146" s="38"/>
    </row>
    <row r="147" ht="15.75" customHeight="1">
      <c r="D147" s="38"/>
    </row>
    <row r="148" ht="15.75" customHeight="1">
      <c r="D148" s="38"/>
    </row>
    <row r="149" ht="15.75" customHeight="1">
      <c r="D149" s="38"/>
    </row>
    <row r="150" ht="15.75" customHeight="1">
      <c r="D150" s="38"/>
    </row>
    <row r="151" ht="15.75" customHeight="1">
      <c r="D151" s="38"/>
    </row>
    <row r="152" ht="15.75" customHeight="1">
      <c r="D152" s="38"/>
    </row>
    <row r="153" ht="15.75" customHeight="1">
      <c r="D153" s="38"/>
    </row>
    <row r="154" ht="15.75" customHeight="1">
      <c r="D154" s="38"/>
    </row>
    <row r="155" ht="15.75" customHeight="1">
      <c r="D155" s="38"/>
    </row>
    <row r="156" ht="15.75" customHeight="1">
      <c r="D156" s="38"/>
    </row>
    <row r="157" ht="15.75" customHeight="1">
      <c r="D157" s="38"/>
    </row>
    <row r="158" ht="15.75" customHeight="1">
      <c r="D158" s="38"/>
    </row>
    <row r="159" ht="15.75" customHeight="1">
      <c r="D159" s="38"/>
    </row>
    <row r="160" ht="15.75" customHeight="1">
      <c r="D160" s="38"/>
    </row>
    <row r="161" ht="15.75" customHeight="1">
      <c r="D161" s="38"/>
    </row>
    <row r="162" ht="15.75" customHeight="1">
      <c r="D162" s="38"/>
    </row>
    <row r="163" ht="15.75" customHeight="1">
      <c r="D163" s="38"/>
    </row>
    <row r="164" ht="15.75" customHeight="1">
      <c r="D164" s="38"/>
    </row>
    <row r="165" ht="15.75" customHeight="1">
      <c r="D165" s="38"/>
    </row>
    <row r="166" ht="15.75" customHeight="1">
      <c r="D166" s="38"/>
    </row>
    <row r="167" ht="15.75" customHeight="1">
      <c r="D167" s="38"/>
    </row>
    <row r="168" ht="15.75" customHeight="1">
      <c r="D168" s="38"/>
    </row>
    <row r="169" ht="15.75" customHeight="1">
      <c r="D169" s="38"/>
    </row>
    <row r="170" ht="15.75" customHeight="1">
      <c r="D170" s="38"/>
    </row>
    <row r="171" ht="15.75" customHeight="1">
      <c r="D171" s="38"/>
    </row>
    <row r="172" ht="15.75" customHeight="1">
      <c r="D172" s="38"/>
    </row>
    <row r="173" ht="15.75" customHeight="1">
      <c r="D173" s="38"/>
    </row>
    <row r="174" ht="15.75" customHeight="1">
      <c r="D174" s="38"/>
    </row>
    <row r="175" ht="15.75" customHeight="1">
      <c r="D175" s="38"/>
    </row>
    <row r="176" ht="15.75" customHeight="1">
      <c r="D176" s="38"/>
    </row>
    <row r="177" ht="15.75" customHeight="1">
      <c r="D177" s="38"/>
    </row>
    <row r="178" ht="15.75" customHeight="1">
      <c r="D178" s="38"/>
    </row>
    <row r="179" ht="15.75" customHeight="1">
      <c r="D179" s="38"/>
    </row>
    <row r="180" ht="15.75" customHeight="1">
      <c r="D180" s="38"/>
    </row>
    <row r="181" ht="15.75" customHeight="1">
      <c r="D181" s="38"/>
    </row>
    <row r="182" ht="15.75" customHeight="1">
      <c r="D182" s="38"/>
    </row>
    <row r="183" ht="15.75" customHeight="1">
      <c r="D183" s="38"/>
    </row>
    <row r="184" ht="15.75" customHeight="1">
      <c r="D184" s="38"/>
    </row>
    <row r="185" ht="15.75" customHeight="1">
      <c r="D185" s="38"/>
    </row>
    <row r="186" ht="15.75" customHeight="1">
      <c r="D186" s="38"/>
    </row>
    <row r="187" ht="15.75" customHeight="1">
      <c r="D187" s="38"/>
    </row>
    <row r="188" ht="15.75" customHeight="1">
      <c r="D188" s="38"/>
    </row>
    <row r="189" ht="15.75" customHeight="1">
      <c r="D189" s="38"/>
    </row>
    <row r="190" ht="15.75" customHeight="1">
      <c r="D190" s="38"/>
    </row>
    <row r="191" ht="15.75" customHeight="1">
      <c r="D191" s="38"/>
    </row>
    <row r="192" ht="15.75" customHeight="1">
      <c r="D192" s="38"/>
    </row>
    <row r="193" ht="15.75" customHeight="1">
      <c r="D193" s="38"/>
    </row>
    <row r="194" ht="15.75" customHeight="1">
      <c r="D194" s="38"/>
    </row>
    <row r="195" ht="15.75" customHeight="1">
      <c r="D195" s="38"/>
    </row>
    <row r="196" ht="15.75" customHeight="1">
      <c r="D196" s="38"/>
    </row>
    <row r="197" ht="15.75" customHeight="1">
      <c r="D197" s="38"/>
    </row>
    <row r="198" ht="15.75" customHeight="1">
      <c r="D198" s="38"/>
    </row>
    <row r="199" ht="15.75" customHeight="1">
      <c r="D199" s="38"/>
    </row>
    <row r="200" ht="15.75" customHeight="1">
      <c r="D200" s="38"/>
    </row>
    <row r="201" ht="15.75" customHeight="1">
      <c r="D201" s="38"/>
    </row>
    <row r="202" ht="15.75" customHeight="1">
      <c r="D202" s="38"/>
    </row>
    <row r="203" ht="15.75" customHeight="1">
      <c r="D203" s="38"/>
    </row>
    <row r="204" ht="15.75" customHeight="1">
      <c r="D204" s="38"/>
    </row>
    <row r="205" ht="15.75" customHeight="1">
      <c r="D205" s="38"/>
    </row>
    <row r="206" ht="15.75" customHeight="1">
      <c r="D206" s="38"/>
    </row>
    <row r="207" ht="15.75" customHeight="1">
      <c r="D207" s="38"/>
    </row>
    <row r="208" ht="15.75" customHeight="1">
      <c r="D208" s="38"/>
    </row>
    <row r="209" ht="15.75" customHeight="1">
      <c r="D209" s="38"/>
    </row>
    <row r="210" ht="15.75" customHeight="1">
      <c r="D210" s="38"/>
    </row>
    <row r="211" ht="15.75" customHeight="1">
      <c r="D211" s="38"/>
    </row>
    <row r="212" ht="15.75" customHeight="1">
      <c r="D212" s="38"/>
    </row>
    <row r="213" ht="15.75" customHeight="1">
      <c r="D213" s="38"/>
    </row>
    <row r="214" ht="15.75" customHeight="1">
      <c r="D214" s="38"/>
    </row>
    <row r="215" ht="15.75" customHeight="1">
      <c r="D215" s="38"/>
    </row>
    <row r="216" ht="15.75" customHeight="1">
      <c r="D216" s="38"/>
    </row>
    <row r="217" ht="15.75" customHeight="1">
      <c r="D217" s="38"/>
    </row>
    <row r="218" ht="15.75" customHeight="1">
      <c r="D218" s="38"/>
    </row>
    <row r="219" ht="15.75" customHeight="1">
      <c r="D219" s="38"/>
    </row>
    <row r="220" ht="15.75" customHeight="1">
      <c r="D220" s="38"/>
    </row>
    <row r="221" ht="15.75" customHeight="1">
      <c r="D221" s="38"/>
    </row>
    <row r="222" ht="15.75" customHeight="1">
      <c r="D222" s="38"/>
    </row>
    <row r="223" ht="15.75" customHeight="1">
      <c r="D223" s="38"/>
    </row>
    <row r="224" ht="15.75" customHeight="1">
      <c r="D224" s="38"/>
    </row>
    <row r="225" ht="15.75" customHeight="1">
      <c r="D225" s="38"/>
    </row>
    <row r="226" ht="15.75" customHeight="1">
      <c r="D226" s="38"/>
    </row>
    <row r="227" ht="15.75" customHeight="1">
      <c r="D227" s="38"/>
    </row>
    <row r="228" ht="15.75" customHeight="1">
      <c r="D228" s="38"/>
    </row>
    <row r="229" ht="15.75" customHeight="1">
      <c r="D229" s="38"/>
    </row>
    <row r="230" ht="15.75" customHeight="1">
      <c r="D230" s="38"/>
    </row>
    <row r="231" ht="15.75" customHeight="1">
      <c r="D231" s="38"/>
    </row>
    <row r="232" ht="15.75" customHeight="1">
      <c r="D232" s="38"/>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63"/>
    <col customWidth="1" min="3" max="3" width="29.25"/>
    <col customWidth="1" min="4" max="4" width="21.5"/>
    <col customWidth="1" min="5" max="5" width="46.75"/>
    <col customWidth="1" min="6" max="6" width="13.38"/>
    <col customWidth="1" min="7" max="8" width="12.75"/>
    <col customWidth="1" min="9" max="9" width="22.63"/>
    <col customWidth="1" min="10" max="10" width="12.63"/>
    <col customWidth="1" min="11" max="11" width="19.25"/>
    <col customWidth="1" hidden="1" min="12" max="12" width="55.5"/>
    <col customWidth="1" min="13" max="13" width="55.5"/>
    <col customWidth="1" min="14" max="14" width="34.38"/>
    <col customWidth="1" min="15" max="15" width="22.75"/>
    <col customWidth="1" min="16" max="16" width="69.63"/>
    <col customWidth="1" min="18" max="19" width="25.5"/>
  </cols>
  <sheetData>
    <row r="1" ht="22.5" customHeight="1">
      <c r="A1" s="4" t="s">
        <v>11</v>
      </c>
      <c r="B1" s="4" t="s">
        <v>2</v>
      </c>
      <c r="C1" s="4" t="s">
        <v>12</v>
      </c>
      <c r="D1" s="4" t="s">
        <v>424</v>
      </c>
      <c r="E1" s="4" t="s">
        <v>13</v>
      </c>
      <c r="F1" s="4" t="s">
        <v>223</v>
      </c>
      <c r="G1" s="4" t="s">
        <v>199</v>
      </c>
      <c r="H1" s="4" t="s">
        <v>201</v>
      </c>
      <c r="I1" s="4" t="s">
        <v>224</v>
      </c>
      <c r="J1" s="4" t="s">
        <v>226</v>
      </c>
      <c r="K1" s="4" t="s">
        <v>227</v>
      </c>
      <c r="L1" s="48" t="s">
        <v>440</v>
      </c>
      <c r="M1" s="4" t="s">
        <v>15</v>
      </c>
      <c r="N1" s="5" t="s">
        <v>228</v>
      </c>
      <c r="O1" s="5" t="s">
        <v>441</v>
      </c>
      <c r="P1" s="5" t="s">
        <v>442</v>
      </c>
      <c r="Q1" s="5" t="s">
        <v>443</v>
      </c>
      <c r="R1" s="26" t="s">
        <v>444</v>
      </c>
      <c r="S1" s="26" t="s">
        <v>445</v>
      </c>
      <c r="T1" s="5" t="s">
        <v>232</v>
      </c>
    </row>
    <row r="2" ht="22.5" customHeight="1">
      <c r="A2" s="7">
        <v>1.0</v>
      </c>
      <c r="B2" s="7" t="s">
        <v>8</v>
      </c>
      <c r="C2" s="7" t="s">
        <v>446</v>
      </c>
      <c r="D2" s="49" t="s">
        <v>234</v>
      </c>
      <c r="E2" s="49" t="s">
        <v>447</v>
      </c>
      <c r="F2" s="7" t="s">
        <v>37</v>
      </c>
      <c r="G2" s="7" t="s">
        <v>236</v>
      </c>
      <c r="H2" s="7" t="s">
        <v>236</v>
      </c>
      <c r="I2" s="7" t="s">
        <v>448</v>
      </c>
      <c r="J2" s="7" t="s">
        <v>276</v>
      </c>
      <c r="K2" s="7" t="s">
        <v>24</v>
      </c>
      <c r="L2" s="50" t="s">
        <v>449</v>
      </c>
      <c r="M2" s="8" t="s">
        <v>450</v>
      </c>
      <c r="N2" s="7" t="s">
        <v>240</v>
      </c>
      <c r="O2" s="9"/>
      <c r="P2" s="7" t="s">
        <v>451</v>
      </c>
      <c r="Q2" s="7">
        <v>2.0</v>
      </c>
      <c r="R2" s="7">
        <v>0.0</v>
      </c>
      <c r="S2" s="7" t="s">
        <v>240</v>
      </c>
      <c r="T2" s="7">
        <v>1.0</v>
      </c>
    </row>
    <row r="3" ht="22.5" customHeight="1">
      <c r="A3" s="7">
        <v>2.0</v>
      </c>
      <c r="B3" s="7" t="s">
        <v>8</v>
      </c>
      <c r="C3" s="7" t="s">
        <v>446</v>
      </c>
      <c r="D3" s="49" t="s">
        <v>242</v>
      </c>
      <c r="E3" s="49" t="s">
        <v>452</v>
      </c>
      <c r="F3" s="7" t="s">
        <v>37</v>
      </c>
      <c r="G3" s="7" t="s">
        <v>236</v>
      </c>
      <c r="H3" s="7" t="s">
        <v>236</v>
      </c>
      <c r="I3" s="7" t="s">
        <v>244</v>
      </c>
      <c r="J3" s="7" t="s">
        <v>276</v>
      </c>
      <c r="K3" s="7" t="s">
        <v>256</v>
      </c>
      <c r="L3" s="50" t="s">
        <v>453</v>
      </c>
      <c r="M3" s="8" t="s">
        <v>454</v>
      </c>
      <c r="N3" s="9"/>
      <c r="O3" s="9"/>
      <c r="P3" s="7" t="s">
        <v>455</v>
      </c>
      <c r="Q3" s="7">
        <v>6.0</v>
      </c>
      <c r="R3" s="7">
        <v>0.0</v>
      </c>
      <c r="S3" s="7"/>
      <c r="T3" s="7">
        <v>1.0</v>
      </c>
    </row>
    <row r="4" ht="22.5" customHeight="1">
      <c r="A4" s="7">
        <v>3.0</v>
      </c>
      <c r="B4" s="7" t="s">
        <v>8</v>
      </c>
      <c r="C4" s="7" t="s">
        <v>446</v>
      </c>
      <c r="D4" s="8" t="s">
        <v>250</v>
      </c>
      <c r="E4" s="8" t="s">
        <v>456</v>
      </c>
      <c r="F4" s="7" t="s">
        <v>457</v>
      </c>
      <c r="G4" s="9"/>
      <c r="H4" s="9"/>
      <c r="I4" s="7" t="s">
        <v>264</v>
      </c>
      <c r="J4" s="7" t="s">
        <v>256</v>
      </c>
      <c r="K4" s="7" t="s">
        <v>257</v>
      </c>
      <c r="L4" s="50" t="s">
        <v>458</v>
      </c>
      <c r="M4" s="8" t="s">
        <v>37</v>
      </c>
      <c r="N4" s="7" t="s">
        <v>258</v>
      </c>
      <c r="O4" s="9"/>
      <c r="P4" s="7" t="s">
        <v>459</v>
      </c>
      <c r="Q4" s="7">
        <v>2.0</v>
      </c>
      <c r="R4" s="7">
        <v>0.0</v>
      </c>
      <c r="S4" s="7" t="s">
        <v>258</v>
      </c>
      <c r="T4" s="7">
        <v>1.0</v>
      </c>
    </row>
    <row r="5" ht="22.5" customHeight="1">
      <c r="A5" s="7">
        <v>4.0</v>
      </c>
      <c r="B5" s="7" t="s">
        <v>8</v>
      </c>
      <c r="C5" s="7" t="s">
        <v>446</v>
      </c>
      <c r="D5" s="8" t="s">
        <v>250</v>
      </c>
      <c r="E5" s="8" t="s">
        <v>460</v>
      </c>
      <c r="F5" s="7" t="s">
        <v>461</v>
      </c>
      <c r="G5" s="9"/>
      <c r="H5" s="9"/>
      <c r="I5" s="7" t="s">
        <v>264</v>
      </c>
      <c r="J5" s="7" t="s">
        <v>256</v>
      </c>
      <c r="K5" s="7" t="s">
        <v>257</v>
      </c>
      <c r="L5" s="50" t="s">
        <v>458</v>
      </c>
      <c r="M5" s="8" t="s">
        <v>37</v>
      </c>
      <c r="N5" s="7" t="s">
        <v>258</v>
      </c>
      <c r="O5" s="9"/>
      <c r="P5" s="7" t="s">
        <v>462</v>
      </c>
      <c r="Q5" s="7">
        <v>2.0</v>
      </c>
      <c r="R5" s="7">
        <v>0.0</v>
      </c>
      <c r="S5" s="7" t="s">
        <v>258</v>
      </c>
      <c r="T5" s="7">
        <v>1.0</v>
      </c>
    </row>
    <row r="6" ht="22.5" customHeight="1">
      <c r="A6" s="7">
        <v>5.0</v>
      </c>
      <c r="B6" s="7" t="s">
        <v>8</v>
      </c>
      <c r="C6" s="7" t="s">
        <v>446</v>
      </c>
      <c r="D6" s="8" t="s">
        <v>250</v>
      </c>
      <c r="E6" s="8" t="s">
        <v>463</v>
      </c>
      <c r="F6" s="7" t="s">
        <v>457</v>
      </c>
      <c r="G6" s="9"/>
      <c r="H6" s="9"/>
      <c r="I6" s="7" t="s">
        <v>264</v>
      </c>
      <c r="J6" s="7" t="s">
        <v>256</v>
      </c>
      <c r="K6" s="7" t="s">
        <v>257</v>
      </c>
      <c r="L6" s="50" t="s">
        <v>458</v>
      </c>
      <c r="M6" s="8" t="s">
        <v>37</v>
      </c>
      <c r="N6" s="7" t="s">
        <v>258</v>
      </c>
      <c r="O6" s="9"/>
      <c r="P6" s="7" t="s">
        <v>464</v>
      </c>
      <c r="Q6" s="7">
        <v>2.0</v>
      </c>
      <c r="R6" s="7">
        <v>0.0</v>
      </c>
      <c r="S6" s="7" t="s">
        <v>258</v>
      </c>
      <c r="T6" s="7">
        <v>1.0</v>
      </c>
    </row>
    <row r="7" ht="22.5" customHeight="1">
      <c r="A7" s="7">
        <v>6.0</v>
      </c>
      <c r="B7" s="7" t="s">
        <v>8</v>
      </c>
      <c r="C7" s="7" t="s">
        <v>446</v>
      </c>
      <c r="D7" s="51" t="s">
        <v>250</v>
      </c>
      <c r="E7" s="13" t="s">
        <v>465</v>
      </c>
      <c r="F7" s="7" t="s">
        <v>457</v>
      </c>
      <c r="G7" s="9"/>
      <c r="H7" s="9"/>
      <c r="I7" s="7" t="s">
        <v>264</v>
      </c>
      <c r="J7" s="7" t="s">
        <v>256</v>
      </c>
      <c r="K7" s="7" t="s">
        <v>257</v>
      </c>
      <c r="L7" s="50" t="s">
        <v>458</v>
      </c>
      <c r="M7" s="8" t="s">
        <v>37</v>
      </c>
      <c r="N7" s="7" t="s">
        <v>258</v>
      </c>
      <c r="O7" s="9"/>
      <c r="P7" s="7" t="s">
        <v>466</v>
      </c>
      <c r="Q7" s="7">
        <v>2.0</v>
      </c>
      <c r="R7" s="7">
        <v>0.0</v>
      </c>
      <c r="S7" s="7" t="s">
        <v>258</v>
      </c>
      <c r="T7" s="7">
        <v>1.0</v>
      </c>
    </row>
    <row r="8" ht="22.5" customHeight="1">
      <c r="A8" s="7">
        <v>7.0</v>
      </c>
      <c r="B8" s="7" t="s">
        <v>8</v>
      </c>
      <c r="C8" s="7" t="s">
        <v>467</v>
      </c>
      <c r="D8" s="8" t="s">
        <v>234</v>
      </c>
      <c r="E8" s="8" t="s">
        <v>468</v>
      </c>
      <c r="F8" s="7" t="s">
        <v>37</v>
      </c>
      <c r="G8" s="7" t="s">
        <v>236</v>
      </c>
      <c r="H8" s="7" t="s">
        <v>236</v>
      </c>
      <c r="I8" s="7" t="s">
        <v>244</v>
      </c>
      <c r="J8" s="7" t="s">
        <v>276</v>
      </c>
      <c r="K8" s="7" t="s">
        <v>24</v>
      </c>
      <c r="L8" s="50" t="s">
        <v>449</v>
      </c>
      <c r="M8" s="8" t="s">
        <v>469</v>
      </c>
      <c r="N8" s="7" t="s">
        <v>240</v>
      </c>
      <c r="O8" s="9"/>
      <c r="P8" s="7" t="s">
        <v>470</v>
      </c>
      <c r="Q8" s="7">
        <v>2.0</v>
      </c>
      <c r="R8" s="7">
        <v>0.0</v>
      </c>
      <c r="S8" s="7" t="s">
        <v>240</v>
      </c>
      <c r="T8" s="7">
        <v>1.0</v>
      </c>
    </row>
    <row r="9" ht="22.5" customHeight="1">
      <c r="A9" s="7">
        <v>8.0</v>
      </c>
      <c r="B9" s="7" t="s">
        <v>8</v>
      </c>
      <c r="C9" s="7" t="s">
        <v>467</v>
      </c>
      <c r="D9" s="8" t="s">
        <v>242</v>
      </c>
      <c r="E9" s="8" t="s">
        <v>471</v>
      </c>
      <c r="F9" s="7" t="s">
        <v>37</v>
      </c>
      <c r="G9" s="7" t="s">
        <v>236</v>
      </c>
      <c r="H9" s="7" t="s">
        <v>236</v>
      </c>
      <c r="I9" s="7" t="s">
        <v>244</v>
      </c>
      <c r="J9" s="7" t="s">
        <v>276</v>
      </c>
      <c r="K9" s="7" t="s">
        <v>256</v>
      </c>
      <c r="L9" s="50" t="s">
        <v>472</v>
      </c>
      <c r="M9" s="8" t="s">
        <v>473</v>
      </c>
      <c r="N9" s="9"/>
      <c r="O9" s="9"/>
      <c r="P9" s="7" t="s">
        <v>474</v>
      </c>
      <c r="Q9" s="7">
        <v>7.0</v>
      </c>
      <c r="R9" s="7">
        <v>0.0</v>
      </c>
      <c r="S9" s="7"/>
      <c r="T9" s="7">
        <v>1.0</v>
      </c>
    </row>
    <row r="10" ht="22.5" customHeight="1">
      <c r="A10" s="7">
        <v>9.0</v>
      </c>
      <c r="B10" s="7" t="s">
        <v>8</v>
      </c>
      <c r="C10" s="7" t="s">
        <v>467</v>
      </c>
      <c r="D10" s="49" t="s">
        <v>4</v>
      </c>
      <c r="E10" s="12" t="s">
        <v>475</v>
      </c>
      <c r="F10" s="7" t="s">
        <v>37</v>
      </c>
      <c r="G10" s="7" t="s">
        <v>236</v>
      </c>
      <c r="H10" s="7" t="s">
        <v>236</v>
      </c>
      <c r="I10" s="7" t="s">
        <v>264</v>
      </c>
      <c r="J10" s="7" t="s">
        <v>276</v>
      </c>
      <c r="K10" s="7" t="s">
        <v>24</v>
      </c>
      <c r="L10" s="50" t="s">
        <v>476</v>
      </c>
      <c r="M10" s="8" t="s">
        <v>477</v>
      </c>
      <c r="N10" s="7" t="s">
        <v>478</v>
      </c>
      <c r="O10" s="9"/>
      <c r="P10" s="7" t="s">
        <v>479</v>
      </c>
      <c r="Q10" s="7">
        <v>2.0</v>
      </c>
      <c r="R10" s="7">
        <v>0.0</v>
      </c>
      <c r="S10" s="7" t="s">
        <v>478</v>
      </c>
      <c r="T10" s="7">
        <v>1.0</v>
      </c>
    </row>
    <row r="11" ht="22.5" customHeight="1">
      <c r="A11" s="7">
        <v>10.0</v>
      </c>
      <c r="B11" s="7" t="s">
        <v>8</v>
      </c>
      <c r="C11" s="7" t="s">
        <v>467</v>
      </c>
      <c r="D11" s="51" t="s">
        <v>4</v>
      </c>
      <c r="E11" s="13" t="s">
        <v>480</v>
      </c>
      <c r="F11" s="7" t="s">
        <v>37</v>
      </c>
      <c r="G11" s="7" t="s">
        <v>236</v>
      </c>
      <c r="H11" s="7" t="s">
        <v>236</v>
      </c>
      <c r="I11" s="7" t="s">
        <v>264</v>
      </c>
      <c r="J11" s="7" t="s">
        <v>276</v>
      </c>
      <c r="K11" s="7" t="s">
        <v>24</v>
      </c>
      <c r="L11" s="50" t="s">
        <v>476</v>
      </c>
      <c r="M11" s="8" t="s">
        <v>477</v>
      </c>
      <c r="N11" s="7" t="s">
        <v>478</v>
      </c>
      <c r="O11" s="9"/>
      <c r="P11" s="7" t="s">
        <v>481</v>
      </c>
      <c r="Q11" s="7">
        <v>2.0</v>
      </c>
      <c r="R11" s="7">
        <v>0.0</v>
      </c>
      <c r="S11" s="7" t="s">
        <v>478</v>
      </c>
      <c r="T11" s="7">
        <v>1.0</v>
      </c>
    </row>
    <row r="12" ht="22.5" customHeight="1">
      <c r="A12" s="7">
        <v>11.0</v>
      </c>
      <c r="B12" s="7" t="s">
        <v>8</v>
      </c>
      <c r="C12" s="7" t="s">
        <v>467</v>
      </c>
      <c r="D12" s="8" t="s">
        <v>4</v>
      </c>
      <c r="E12" s="8" t="s">
        <v>482</v>
      </c>
      <c r="F12" s="7" t="s">
        <v>37</v>
      </c>
      <c r="G12" s="7" t="s">
        <v>236</v>
      </c>
      <c r="H12" s="7" t="s">
        <v>236</v>
      </c>
      <c r="I12" s="7" t="s">
        <v>264</v>
      </c>
      <c r="J12" s="7" t="s">
        <v>276</v>
      </c>
      <c r="K12" s="7" t="s">
        <v>24</v>
      </c>
      <c r="L12" s="50" t="s">
        <v>476</v>
      </c>
      <c r="M12" s="8" t="s">
        <v>477</v>
      </c>
      <c r="N12" s="7" t="s">
        <v>478</v>
      </c>
      <c r="O12" s="9"/>
      <c r="P12" s="7" t="s">
        <v>483</v>
      </c>
      <c r="Q12" s="7">
        <v>2.0</v>
      </c>
      <c r="R12" s="7">
        <v>0.0</v>
      </c>
      <c r="S12" s="7" t="s">
        <v>478</v>
      </c>
      <c r="T12" s="7">
        <v>1.0</v>
      </c>
    </row>
    <row r="13" ht="22.5" customHeight="1">
      <c r="A13" s="7">
        <v>12.0</v>
      </c>
      <c r="B13" s="7" t="s">
        <v>8</v>
      </c>
      <c r="C13" s="7" t="s">
        <v>467</v>
      </c>
      <c r="D13" s="8" t="s">
        <v>4</v>
      </c>
      <c r="E13" s="8" t="s">
        <v>484</v>
      </c>
      <c r="F13" s="7" t="s">
        <v>37</v>
      </c>
      <c r="G13" s="7" t="s">
        <v>236</v>
      </c>
      <c r="H13" s="7" t="s">
        <v>236</v>
      </c>
      <c r="I13" s="7" t="s">
        <v>264</v>
      </c>
      <c r="J13" s="7" t="s">
        <v>276</v>
      </c>
      <c r="K13" s="7" t="s">
        <v>24</v>
      </c>
      <c r="L13" s="50" t="s">
        <v>476</v>
      </c>
      <c r="M13" s="8" t="s">
        <v>477</v>
      </c>
      <c r="N13" s="7" t="s">
        <v>478</v>
      </c>
      <c r="O13" s="9"/>
      <c r="P13" s="7" t="s">
        <v>485</v>
      </c>
      <c r="Q13" s="7">
        <v>2.0</v>
      </c>
      <c r="R13" s="7">
        <v>0.0</v>
      </c>
      <c r="S13" s="7" t="s">
        <v>478</v>
      </c>
      <c r="T13" s="7">
        <v>1.0</v>
      </c>
    </row>
    <row r="14" ht="22.5" customHeight="1">
      <c r="A14" s="7">
        <v>13.0</v>
      </c>
      <c r="B14" s="7" t="s">
        <v>8</v>
      </c>
      <c r="C14" s="7" t="s">
        <v>467</v>
      </c>
      <c r="D14" s="8" t="s">
        <v>250</v>
      </c>
      <c r="E14" s="8" t="s">
        <v>486</v>
      </c>
      <c r="F14" s="7" t="s">
        <v>487</v>
      </c>
      <c r="G14" s="9"/>
      <c r="H14" s="9"/>
      <c r="I14" s="7" t="s">
        <v>264</v>
      </c>
      <c r="J14" s="7" t="s">
        <v>256</v>
      </c>
      <c r="K14" s="7" t="s">
        <v>257</v>
      </c>
      <c r="L14" s="50" t="s">
        <v>488</v>
      </c>
      <c r="M14" s="8" t="s">
        <v>37</v>
      </c>
      <c r="N14" s="7" t="s">
        <v>258</v>
      </c>
      <c r="O14" s="9"/>
      <c r="P14" s="7" t="s">
        <v>489</v>
      </c>
      <c r="Q14" s="7">
        <v>2.0</v>
      </c>
      <c r="R14" s="7">
        <v>0.0</v>
      </c>
      <c r="S14" s="7" t="s">
        <v>258</v>
      </c>
      <c r="T14" s="7">
        <v>1.0</v>
      </c>
    </row>
    <row r="15" ht="22.5" customHeight="1">
      <c r="A15" s="7">
        <v>14.0</v>
      </c>
      <c r="B15" s="7" t="s">
        <v>8</v>
      </c>
      <c r="C15" s="7" t="s">
        <v>467</v>
      </c>
      <c r="D15" s="8" t="s">
        <v>4</v>
      </c>
      <c r="E15" s="8" t="s">
        <v>490</v>
      </c>
      <c r="F15" s="7" t="s">
        <v>37</v>
      </c>
      <c r="G15" s="7" t="s">
        <v>236</v>
      </c>
      <c r="H15" s="7" t="s">
        <v>236</v>
      </c>
      <c r="I15" s="7" t="s">
        <v>264</v>
      </c>
      <c r="J15" s="7" t="s">
        <v>276</v>
      </c>
      <c r="K15" s="7" t="s">
        <v>24</v>
      </c>
      <c r="L15" s="29"/>
      <c r="M15" s="8" t="s">
        <v>477</v>
      </c>
      <c r="N15" s="7" t="s">
        <v>478</v>
      </c>
      <c r="O15" s="9"/>
      <c r="P15" s="7" t="s">
        <v>491</v>
      </c>
      <c r="Q15" s="7">
        <v>2.0</v>
      </c>
      <c r="R15" s="7">
        <v>0.0</v>
      </c>
      <c r="S15" s="7" t="s">
        <v>478</v>
      </c>
      <c r="T15" s="7">
        <v>1.0</v>
      </c>
    </row>
    <row r="16" ht="22.5" customHeight="1">
      <c r="A16" s="7">
        <v>15.0</v>
      </c>
      <c r="B16" s="7" t="s">
        <v>8</v>
      </c>
      <c r="C16" s="7" t="s">
        <v>467</v>
      </c>
      <c r="D16" s="8" t="s">
        <v>4</v>
      </c>
      <c r="E16" s="8" t="s">
        <v>492</v>
      </c>
      <c r="F16" s="7" t="s">
        <v>37</v>
      </c>
      <c r="G16" s="7" t="s">
        <v>236</v>
      </c>
      <c r="H16" s="7" t="s">
        <v>236</v>
      </c>
      <c r="I16" s="7" t="s">
        <v>264</v>
      </c>
      <c r="J16" s="7" t="s">
        <v>276</v>
      </c>
      <c r="K16" s="7" t="s">
        <v>24</v>
      </c>
      <c r="L16" s="29"/>
      <c r="M16" s="8" t="s">
        <v>477</v>
      </c>
      <c r="N16" s="7" t="s">
        <v>478</v>
      </c>
      <c r="O16" s="9"/>
      <c r="P16" s="7" t="s">
        <v>493</v>
      </c>
      <c r="Q16" s="7">
        <v>2.0</v>
      </c>
      <c r="R16" s="7">
        <v>0.0</v>
      </c>
      <c r="S16" s="7" t="s">
        <v>478</v>
      </c>
      <c r="T16" s="7">
        <v>1.0</v>
      </c>
    </row>
    <row r="17" ht="22.5" customHeight="1">
      <c r="A17" s="7">
        <v>16.0</v>
      </c>
      <c r="B17" s="7" t="s">
        <v>8</v>
      </c>
      <c r="C17" s="7" t="s">
        <v>467</v>
      </c>
      <c r="D17" s="8" t="s">
        <v>4</v>
      </c>
      <c r="E17" s="8" t="s">
        <v>494</v>
      </c>
      <c r="F17" s="7" t="s">
        <v>37</v>
      </c>
      <c r="G17" s="7" t="s">
        <v>236</v>
      </c>
      <c r="H17" s="7" t="s">
        <v>236</v>
      </c>
      <c r="I17" s="7" t="s">
        <v>264</v>
      </c>
      <c r="J17" s="7" t="s">
        <v>276</v>
      </c>
      <c r="K17" s="7" t="s">
        <v>24</v>
      </c>
      <c r="L17" s="50" t="s">
        <v>495</v>
      </c>
      <c r="M17" s="8" t="s">
        <v>477</v>
      </c>
      <c r="N17" s="7" t="s">
        <v>478</v>
      </c>
      <c r="O17" s="9"/>
      <c r="P17" s="7" t="s">
        <v>496</v>
      </c>
      <c r="Q17" s="7">
        <v>2.0</v>
      </c>
      <c r="R17" s="7">
        <v>0.0</v>
      </c>
      <c r="S17" s="7" t="s">
        <v>478</v>
      </c>
      <c r="T17" s="7">
        <v>1.0</v>
      </c>
    </row>
    <row r="18" ht="22.5" customHeight="1">
      <c r="A18" s="7">
        <v>17.0</v>
      </c>
      <c r="B18" s="7" t="s">
        <v>8</v>
      </c>
      <c r="C18" s="7" t="s">
        <v>467</v>
      </c>
      <c r="D18" s="8" t="s">
        <v>4</v>
      </c>
      <c r="E18" s="8" t="s">
        <v>497</v>
      </c>
      <c r="F18" s="7" t="s">
        <v>37</v>
      </c>
      <c r="G18" s="7" t="s">
        <v>236</v>
      </c>
      <c r="H18" s="7" t="s">
        <v>236</v>
      </c>
      <c r="I18" s="7" t="s">
        <v>264</v>
      </c>
      <c r="J18" s="7" t="s">
        <v>276</v>
      </c>
      <c r="K18" s="7" t="s">
        <v>24</v>
      </c>
      <c r="L18" s="29"/>
      <c r="M18" s="8" t="s">
        <v>477</v>
      </c>
      <c r="N18" s="7" t="s">
        <v>478</v>
      </c>
      <c r="O18" s="9"/>
      <c r="P18" s="7" t="s">
        <v>498</v>
      </c>
      <c r="Q18" s="7">
        <v>2.0</v>
      </c>
      <c r="R18" s="7">
        <v>0.0</v>
      </c>
      <c r="S18" s="7" t="s">
        <v>478</v>
      </c>
      <c r="T18" s="7">
        <v>1.0</v>
      </c>
    </row>
    <row r="19" ht="22.5" customHeight="1">
      <c r="A19" s="7">
        <v>18.0</v>
      </c>
      <c r="B19" s="7" t="s">
        <v>8</v>
      </c>
      <c r="C19" s="7" t="s">
        <v>467</v>
      </c>
      <c r="D19" s="8" t="s">
        <v>4</v>
      </c>
      <c r="E19" s="8" t="s">
        <v>499</v>
      </c>
      <c r="F19" s="7" t="s">
        <v>37</v>
      </c>
      <c r="G19" s="7" t="s">
        <v>236</v>
      </c>
      <c r="H19" s="7" t="s">
        <v>236</v>
      </c>
      <c r="I19" s="7" t="s">
        <v>264</v>
      </c>
      <c r="J19" s="7" t="s">
        <v>276</v>
      </c>
      <c r="K19" s="7" t="s">
        <v>24</v>
      </c>
      <c r="L19" s="29"/>
      <c r="M19" s="8" t="s">
        <v>477</v>
      </c>
      <c r="N19" s="7" t="s">
        <v>478</v>
      </c>
      <c r="O19" s="9"/>
      <c r="P19" s="7" t="s">
        <v>500</v>
      </c>
      <c r="Q19" s="7">
        <v>2.0</v>
      </c>
      <c r="R19" s="7">
        <v>0.0</v>
      </c>
      <c r="S19" s="7" t="s">
        <v>478</v>
      </c>
      <c r="T19" s="7">
        <v>1.0</v>
      </c>
    </row>
    <row r="20" ht="22.5" customHeight="1">
      <c r="A20" s="7">
        <v>19.0</v>
      </c>
      <c r="B20" s="7" t="s">
        <v>8</v>
      </c>
      <c r="C20" s="7" t="s">
        <v>501</v>
      </c>
      <c r="D20" s="8" t="s">
        <v>234</v>
      </c>
      <c r="E20" s="8" t="s">
        <v>502</v>
      </c>
      <c r="F20" s="7" t="s">
        <v>37</v>
      </c>
      <c r="G20" s="7" t="s">
        <v>236</v>
      </c>
      <c r="H20" s="7" t="s">
        <v>236</v>
      </c>
      <c r="I20" s="7" t="s">
        <v>448</v>
      </c>
      <c r="J20" s="7" t="s">
        <v>276</v>
      </c>
      <c r="K20" s="7" t="s">
        <v>24</v>
      </c>
      <c r="L20" s="50" t="s">
        <v>449</v>
      </c>
      <c r="M20" s="8" t="s">
        <v>503</v>
      </c>
      <c r="N20" s="7" t="s">
        <v>240</v>
      </c>
      <c r="O20" s="9"/>
      <c r="P20" s="7" t="s">
        <v>504</v>
      </c>
      <c r="Q20" s="7">
        <v>2.0</v>
      </c>
      <c r="R20" s="7">
        <v>0.0</v>
      </c>
      <c r="S20" s="7" t="s">
        <v>240</v>
      </c>
      <c r="T20" s="7">
        <v>1.0</v>
      </c>
    </row>
    <row r="21" ht="22.5" customHeight="1">
      <c r="A21" s="7">
        <v>20.0</v>
      </c>
      <c r="B21" s="7" t="s">
        <v>8</v>
      </c>
      <c r="C21" s="7" t="s">
        <v>505</v>
      </c>
      <c r="D21" s="8" t="s">
        <v>234</v>
      </c>
      <c r="E21" s="8" t="s">
        <v>506</v>
      </c>
      <c r="F21" s="7" t="s">
        <v>37</v>
      </c>
      <c r="G21" s="7" t="s">
        <v>236</v>
      </c>
      <c r="H21" s="7" t="s">
        <v>236</v>
      </c>
      <c r="I21" s="7" t="s">
        <v>448</v>
      </c>
      <c r="J21" s="7" t="s">
        <v>276</v>
      </c>
      <c r="K21" s="7" t="s">
        <v>24</v>
      </c>
      <c r="L21" s="50" t="s">
        <v>449</v>
      </c>
      <c r="M21" s="8" t="s">
        <v>507</v>
      </c>
      <c r="N21" s="7" t="s">
        <v>240</v>
      </c>
      <c r="O21" s="9"/>
      <c r="P21" s="7" t="s">
        <v>508</v>
      </c>
      <c r="Q21" s="7">
        <v>2.0</v>
      </c>
      <c r="R21" s="7">
        <v>0.0</v>
      </c>
      <c r="S21" s="7" t="s">
        <v>240</v>
      </c>
      <c r="T21" s="7">
        <v>1.0</v>
      </c>
    </row>
    <row r="22" ht="22.5" customHeight="1">
      <c r="A22" s="7">
        <v>21.0</v>
      </c>
      <c r="B22" s="7" t="s">
        <v>8</v>
      </c>
      <c r="C22" s="7" t="s">
        <v>505</v>
      </c>
      <c r="D22" s="8" t="s">
        <v>242</v>
      </c>
      <c r="E22" s="8" t="s">
        <v>509</v>
      </c>
      <c r="F22" s="7" t="s">
        <v>37</v>
      </c>
      <c r="G22" s="7" t="s">
        <v>236</v>
      </c>
      <c r="H22" s="7" t="s">
        <v>236</v>
      </c>
      <c r="I22" s="7" t="s">
        <v>244</v>
      </c>
      <c r="J22" s="7" t="s">
        <v>276</v>
      </c>
      <c r="K22" s="7" t="s">
        <v>256</v>
      </c>
      <c r="L22" s="50" t="s">
        <v>510</v>
      </c>
      <c r="M22" s="8" t="s">
        <v>511</v>
      </c>
      <c r="N22" s="9"/>
      <c r="O22" s="9"/>
      <c r="P22" s="7" t="s">
        <v>512</v>
      </c>
      <c r="Q22" s="7">
        <v>5.0</v>
      </c>
      <c r="R22" s="7">
        <v>0.0</v>
      </c>
      <c r="S22" s="7"/>
      <c r="T22" s="7">
        <v>1.0</v>
      </c>
    </row>
    <row r="23" ht="22.5" customHeight="1">
      <c r="A23" s="7">
        <v>22.0</v>
      </c>
      <c r="B23" s="7" t="s">
        <v>8</v>
      </c>
      <c r="C23" s="7" t="s">
        <v>513</v>
      </c>
      <c r="D23" s="8" t="s">
        <v>234</v>
      </c>
      <c r="E23" s="8" t="s">
        <v>514</v>
      </c>
      <c r="F23" s="7" t="s">
        <v>37</v>
      </c>
      <c r="G23" s="7" t="s">
        <v>236</v>
      </c>
      <c r="H23" s="7" t="s">
        <v>236</v>
      </c>
      <c r="I23" s="7" t="s">
        <v>448</v>
      </c>
      <c r="J23" s="7" t="s">
        <v>276</v>
      </c>
      <c r="K23" s="7" t="s">
        <v>24</v>
      </c>
      <c r="L23" s="50" t="s">
        <v>515</v>
      </c>
      <c r="M23" s="8" t="s">
        <v>516</v>
      </c>
      <c r="N23" s="7" t="s">
        <v>240</v>
      </c>
      <c r="O23" s="9"/>
      <c r="P23" s="7" t="s">
        <v>517</v>
      </c>
      <c r="Q23" s="7">
        <v>2.0</v>
      </c>
      <c r="R23" s="7">
        <v>0.0</v>
      </c>
      <c r="S23" s="7" t="s">
        <v>240</v>
      </c>
      <c r="T23" s="7">
        <v>1.0</v>
      </c>
    </row>
    <row r="24" ht="22.5" customHeight="1">
      <c r="A24" s="7">
        <v>23.0</v>
      </c>
      <c r="B24" s="7" t="s">
        <v>8</v>
      </c>
      <c r="C24" s="7" t="s">
        <v>513</v>
      </c>
      <c r="D24" s="8" t="s">
        <v>242</v>
      </c>
      <c r="E24" s="7" t="s">
        <v>518</v>
      </c>
      <c r="F24" s="7" t="s">
        <v>37</v>
      </c>
      <c r="G24" s="7" t="s">
        <v>236</v>
      </c>
      <c r="H24" s="7" t="s">
        <v>236</v>
      </c>
      <c r="I24" s="7" t="s">
        <v>244</v>
      </c>
      <c r="J24" s="7" t="s">
        <v>276</v>
      </c>
      <c r="K24" s="7" t="s">
        <v>256</v>
      </c>
      <c r="L24" s="50" t="s">
        <v>519</v>
      </c>
      <c r="M24" s="8" t="s">
        <v>520</v>
      </c>
      <c r="N24" s="9"/>
      <c r="O24" s="9"/>
      <c r="P24" s="7" t="s">
        <v>521</v>
      </c>
      <c r="Q24" s="7">
        <v>10.0</v>
      </c>
      <c r="R24" s="7">
        <v>0.0</v>
      </c>
      <c r="S24" s="7"/>
      <c r="T24" s="7">
        <v>1.0</v>
      </c>
    </row>
    <row r="25" ht="22.5" customHeight="1">
      <c r="A25" s="7">
        <v>24.0</v>
      </c>
      <c r="B25" s="7" t="s">
        <v>8</v>
      </c>
      <c r="C25" s="7" t="s">
        <v>513</v>
      </c>
      <c r="D25" s="8" t="s">
        <v>234</v>
      </c>
      <c r="E25" s="8" t="s">
        <v>522</v>
      </c>
      <c r="F25" s="7" t="s">
        <v>37</v>
      </c>
      <c r="G25" s="7" t="s">
        <v>236</v>
      </c>
      <c r="H25" s="7" t="s">
        <v>236</v>
      </c>
      <c r="I25" s="7" t="s">
        <v>448</v>
      </c>
      <c r="J25" s="7" t="s">
        <v>276</v>
      </c>
      <c r="K25" s="7" t="s">
        <v>24</v>
      </c>
      <c r="L25" s="50" t="s">
        <v>523</v>
      </c>
      <c r="M25" s="8" t="s">
        <v>524</v>
      </c>
      <c r="N25" s="7" t="s">
        <v>240</v>
      </c>
      <c r="O25" s="9"/>
      <c r="P25" s="7" t="s">
        <v>525</v>
      </c>
      <c r="Q25" s="7">
        <v>2.0</v>
      </c>
      <c r="R25" s="7">
        <v>0.0</v>
      </c>
      <c r="S25" s="7" t="s">
        <v>240</v>
      </c>
      <c r="T25" s="7">
        <v>1.0</v>
      </c>
    </row>
    <row r="26" ht="22.5" customHeight="1">
      <c r="A26" s="7">
        <v>25.0</v>
      </c>
      <c r="B26" s="7" t="s">
        <v>8</v>
      </c>
      <c r="C26" s="7" t="s">
        <v>526</v>
      </c>
      <c r="D26" s="8" t="s">
        <v>242</v>
      </c>
      <c r="E26" s="8" t="s">
        <v>527</v>
      </c>
      <c r="F26" s="7" t="s">
        <v>37</v>
      </c>
      <c r="G26" s="7" t="s">
        <v>236</v>
      </c>
      <c r="H26" s="7" t="s">
        <v>236</v>
      </c>
      <c r="I26" s="7" t="s">
        <v>244</v>
      </c>
      <c r="J26" s="7" t="s">
        <v>276</v>
      </c>
      <c r="K26" s="7" t="s">
        <v>256</v>
      </c>
      <c r="L26" s="50" t="s">
        <v>528</v>
      </c>
      <c r="M26" s="8" t="s">
        <v>529</v>
      </c>
      <c r="N26" s="9"/>
      <c r="O26" s="9"/>
      <c r="P26" s="7" t="s">
        <v>530</v>
      </c>
      <c r="Q26" s="7">
        <v>10.0</v>
      </c>
      <c r="R26" s="7">
        <v>0.0</v>
      </c>
      <c r="S26" s="7"/>
      <c r="T26" s="7">
        <v>1.0</v>
      </c>
    </row>
    <row r="27" ht="22.5" customHeight="1">
      <c r="A27" s="7">
        <v>26.0</v>
      </c>
      <c r="B27" s="7" t="s">
        <v>8</v>
      </c>
      <c r="C27" s="7" t="s">
        <v>526</v>
      </c>
      <c r="D27" s="8" t="s">
        <v>250</v>
      </c>
      <c r="E27" s="8" t="s">
        <v>531</v>
      </c>
      <c r="F27" s="7" t="s">
        <v>487</v>
      </c>
      <c r="G27" s="9"/>
      <c r="H27" s="9"/>
      <c r="I27" s="7" t="s">
        <v>264</v>
      </c>
      <c r="J27" s="7" t="s">
        <v>256</v>
      </c>
      <c r="K27" s="7" t="s">
        <v>257</v>
      </c>
      <c r="L27" s="50" t="s">
        <v>532</v>
      </c>
      <c r="M27" s="8" t="s">
        <v>37</v>
      </c>
      <c r="N27" s="7" t="s">
        <v>258</v>
      </c>
      <c r="O27" s="9"/>
      <c r="P27" s="7" t="s">
        <v>533</v>
      </c>
      <c r="Q27" s="7">
        <v>2.0</v>
      </c>
      <c r="R27" s="7">
        <v>0.0</v>
      </c>
      <c r="S27" s="7" t="s">
        <v>258</v>
      </c>
      <c r="T27" s="7">
        <v>1.0</v>
      </c>
    </row>
    <row r="28" ht="22.5" customHeight="1">
      <c r="A28" s="7">
        <v>27.0</v>
      </c>
      <c r="B28" s="7" t="s">
        <v>8</v>
      </c>
      <c r="C28" s="7" t="s">
        <v>526</v>
      </c>
      <c r="D28" s="8" t="s">
        <v>250</v>
      </c>
      <c r="E28" s="8" t="s">
        <v>534</v>
      </c>
      <c r="F28" s="7" t="s">
        <v>487</v>
      </c>
      <c r="G28" s="9"/>
      <c r="H28" s="9"/>
      <c r="I28" s="7" t="s">
        <v>264</v>
      </c>
      <c r="J28" s="7" t="s">
        <v>256</v>
      </c>
      <c r="K28" s="7" t="s">
        <v>257</v>
      </c>
      <c r="L28" s="50" t="s">
        <v>532</v>
      </c>
      <c r="M28" s="8" t="s">
        <v>37</v>
      </c>
      <c r="N28" s="7" t="s">
        <v>258</v>
      </c>
      <c r="O28" s="9"/>
      <c r="P28" s="7" t="s">
        <v>535</v>
      </c>
      <c r="Q28" s="7">
        <v>2.0</v>
      </c>
      <c r="R28" s="7">
        <v>0.0</v>
      </c>
      <c r="S28" s="7" t="s">
        <v>258</v>
      </c>
      <c r="T28" s="7">
        <v>1.0</v>
      </c>
    </row>
    <row r="29" ht="22.5" customHeight="1">
      <c r="A29" s="7">
        <v>28.0</v>
      </c>
      <c r="B29" s="7" t="s">
        <v>8</v>
      </c>
      <c r="C29" s="7" t="s">
        <v>526</v>
      </c>
      <c r="D29" s="8" t="s">
        <v>250</v>
      </c>
      <c r="E29" s="8" t="s">
        <v>536</v>
      </c>
      <c r="F29" s="7" t="s">
        <v>487</v>
      </c>
      <c r="G29" s="9"/>
      <c r="H29" s="9"/>
      <c r="I29" s="7" t="s">
        <v>264</v>
      </c>
      <c r="J29" s="7" t="s">
        <v>256</v>
      </c>
      <c r="K29" s="7" t="s">
        <v>257</v>
      </c>
      <c r="L29" s="50" t="s">
        <v>532</v>
      </c>
      <c r="M29" s="8" t="s">
        <v>37</v>
      </c>
      <c r="N29" s="7" t="s">
        <v>258</v>
      </c>
      <c r="O29" s="9"/>
      <c r="P29" s="7" t="s">
        <v>537</v>
      </c>
      <c r="Q29" s="7">
        <v>2.0</v>
      </c>
      <c r="R29" s="7">
        <v>0.0</v>
      </c>
      <c r="S29" s="7" t="s">
        <v>258</v>
      </c>
      <c r="T29" s="7">
        <v>1.0</v>
      </c>
    </row>
    <row r="30" ht="22.5" customHeight="1">
      <c r="A30" s="7">
        <v>29.0</v>
      </c>
      <c r="B30" s="7" t="s">
        <v>8</v>
      </c>
      <c r="C30" s="7" t="s">
        <v>526</v>
      </c>
      <c r="D30" s="8" t="s">
        <v>250</v>
      </c>
      <c r="E30" s="8" t="s">
        <v>538</v>
      </c>
      <c r="F30" s="7" t="s">
        <v>487</v>
      </c>
      <c r="G30" s="9"/>
      <c r="H30" s="9"/>
      <c r="I30" s="7" t="s">
        <v>264</v>
      </c>
      <c r="J30" s="7" t="s">
        <v>256</v>
      </c>
      <c r="K30" s="7" t="s">
        <v>257</v>
      </c>
      <c r="L30" s="50" t="s">
        <v>532</v>
      </c>
      <c r="M30" s="8" t="s">
        <v>37</v>
      </c>
      <c r="N30" s="7" t="s">
        <v>258</v>
      </c>
      <c r="O30" s="9"/>
      <c r="P30" s="7" t="s">
        <v>539</v>
      </c>
      <c r="Q30" s="7">
        <v>2.0</v>
      </c>
      <c r="R30" s="7">
        <v>0.0</v>
      </c>
      <c r="S30" s="7" t="s">
        <v>258</v>
      </c>
      <c r="T30" s="7">
        <v>1.0</v>
      </c>
    </row>
    <row r="31" ht="22.5" customHeight="1">
      <c r="A31" s="7">
        <v>30.0</v>
      </c>
      <c r="B31" s="7" t="s">
        <v>8</v>
      </c>
      <c r="C31" s="7" t="s">
        <v>526</v>
      </c>
      <c r="D31" s="8" t="s">
        <v>250</v>
      </c>
      <c r="E31" s="8" t="s">
        <v>540</v>
      </c>
      <c r="F31" s="7" t="s">
        <v>487</v>
      </c>
      <c r="G31" s="9"/>
      <c r="H31" s="9"/>
      <c r="I31" s="7" t="s">
        <v>264</v>
      </c>
      <c r="J31" s="7" t="s">
        <v>256</v>
      </c>
      <c r="K31" s="7" t="s">
        <v>257</v>
      </c>
      <c r="L31" s="50" t="s">
        <v>532</v>
      </c>
      <c r="M31" s="8" t="s">
        <v>37</v>
      </c>
      <c r="N31" s="7" t="s">
        <v>258</v>
      </c>
      <c r="O31" s="9"/>
      <c r="P31" s="7" t="s">
        <v>541</v>
      </c>
      <c r="Q31" s="7">
        <v>2.0</v>
      </c>
      <c r="R31" s="7">
        <v>0.0</v>
      </c>
      <c r="S31" s="7" t="s">
        <v>258</v>
      </c>
      <c r="T31" s="7">
        <v>1.0</v>
      </c>
    </row>
    <row r="32" ht="22.5" customHeight="1">
      <c r="A32" s="7">
        <v>31.0</v>
      </c>
      <c r="B32" s="7" t="s">
        <v>8</v>
      </c>
      <c r="C32" s="7" t="s">
        <v>526</v>
      </c>
      <c r="D32" s="8" t="s">
        <v>250</v>
      </c>
      <c r="E32" s="8" t="s">
        <v>542</v>
      </c>
      <c r="F32" s="7" t="s">
        <v>487</v>
      </c>
      <c r="G32" s="9"/>
      <c r="H32" s="9"/>
      <c r="I32" s="7" t="s">
        <v>264</v>
      </c>
      <c r="J32" s="7" t="s">
        <v>256</v>
      </c>
      <c r="K32" s="7" t="s">
        <v>257</v>
      </c>
      <c r="L32" s="50" t="s">
        <v>532</v>
      </c>
      <c r="M32" s="8" t="s">
        <v>37</v>
      </c>
      <c r="N32" s="7" t="s">
        <v>258</v>
      </c>
      <c r="O32" s="9"/>
      <c r="P32" s="7" t="s">
        <v>543</v>
      </c>
      <c r="Q32" s="7">
        <v>2.0</v>
      </c>
      <c r="R32" s="7">
        <v>0.0</v>
      </c>
      <c r="S32" s="7" t="s">
        <v>258</v>
      </c>
      <c r="T32" s="7">
        <v>1.0</v>
      </c>
    </row>
    <row r="33" ht="22.5" customHeight="1">
      <c r="A33" s="7">
        <v>32.0</v>
      </c>
      <c r="B33" s="7" t="s">
        <v>8</v>
      </c>
      <c r="C33" s="7" t="s">
        <v>526</v>
      </c>
      <c r="D33" s="8" t="s">
        <v>250</v>
      </c>
      <c r="E33" s="8" t="s">
        <v>544</v>
      </c>
      <c r="F33" s="7" t="s">
        <v>487</v>
      </c>
      <c r="G33" s="9"/>
      <c r="H33" s="9"/>
      <c r="I33" s="7" t="s">
        <v>264</v>
      </c>
      <c r="J33" s="7" t="s">
        <v>256</v>
      </c>
      <c r="K33" s="7" t="s">
        <v>257</v>
      </c>
      <c r="L33" s="50" t="s">
        <v>532</v>
      </c>
      <c r="M33" s="8" t="s">
        <v>37</v>
      </c>
      <c r="N33" s="7" t="s">
        <v>258</v>
      </c>
      <c r="O33" s="9"/>
      <c r="P33" s="7" t="s">
        <v>545</v>
      </c>
      <c r="Q33" s="7">
        <v>2.0</v>
      </c>
      <c r="R33" s="7">
        <v>0.0</v>
      </c>
      <c r="S33" s="7" t="s">
        <v>258</v>
      </c>
      <c r="T33" s="7">
        <v>1.0</v>
      </c>
    </row>
    <row r="34" ht="22.5" customHeight="1">
      <c r="A34" s="7">
        <v>33.0</v>
      </c>
      <c r="B34" s="7" t="s">
        <v>8</v>
      </c>
      <c r="C34" s="7" t="s">
        <v>526</v>
      </c>
      <c r="D34" s="8" t="s">
        <v>4</v>
      </c>
      <c r="E34" s="8" t="s">
        <v>546</v>
      </c>
      <c r="F34" s="7" t="s">
        <v>37</v>
      </c>
      <c r="G34" s="7" t="s">
        <v>236</v>
      </c>
      <c r="H34" s="7" t="s">
        <v>236</v>
      </c>
      <c r="I34" s="7" t="s">
        <v>264</v>
      </c>
      <c r="J34" s="7" t="s">
        <v>276</v>
      </c>
      <c r="K34" s="7" t="s">
        <v>24</v>
      </c>
      <c r="L34" s="29"/>
      <c r="M34" s="8" t="s">
        <v>547</v>
      </c>
      <c r="N34" s="7" t="s">
        <v>478</v>
      </c>
      <c r="O34" s="9"/>
      <c r="P34" s="7" t="s">
        <v>548</v>
      </c>
      <c r="Q34" s="7">
        <v>1.0</v>
      </c>
      <c r="R34" s="7">
        <v>0.0</v>
      </c>
      <c r="S34" s="7" t="s">
        <v>478</v>
      </c>
      <c r="T34" s="7">
        <v>1.0</v>
      </c>
    </row>
    <row r="35" ht="22.5" customHeight="1">
      <c r="A35" s="7">
        <v>34.0</v>
      </c>
      <c r="B35" s="7" t="s">
        <v>8</v>
      </c>
      <c r="C35" s="7" t="s">
        <v>526</v>
      </c>
      <c r="D35" s="8" t="s">
        <v>426</v>
      </c>
      <c r="E35" s="8" t="s">
        <v>549</v>
      </c>
      <c r="F35" s="7" t="s">
        <v>37</v>
      </c>
      <c r="G35" s="9"/>
      <c r="H35" s="9"/>
      <c r="I35" s="7" t="s">
        <v>264</v>
      </c>
      <c r="J35" s="7" t="s">
        <v>256</v>
      </c>
      <c r="K35" s="7" t="s">
        <v>256</v>
      </c>
      <c r="L35" s="29"/>
      <c r="M35" s="8" t="s">
        <v>37</v>
      </c>
      <c r="N35" s="9"/>
      <c r="O35" s="9"/>
      <c r="P35" s="7" t="s">
        <v>550</v>
      </c>
      <c r="Q35" s="7">
        <v>0.0</v>
      </c>
      <c r="R35" s="7">
        <v>0.0</v>
      </c>
      <c r="S35" s="7"/>
      <c r="T35" s="7">
        <v>1.0</v>
      </c>
    </row>
    <row r="36" ht="22.5" customHeight="1">
      <c r="A36" s="7">
        <v>35.0</v>
      </c>
      <c r="B36" s="7" t="s">
        <v>8</v>
      </c>
      <c r="C36" s="7" t="s">
        <v>526</v>
      </c>
      <c r="D36" s="8" t="s">
        <v>250</v>
      </c>
      <c r="E36" s="8" t="s">
        <v>551</v>
      </c>
      <c r="F36" s="7" t="s">
        <v>457</v>
      </c>
      <c r="G36" s="9"/>
      <c r="H36" s="9"/>
      <c r="I36" s="7" t="s">
        <v>264</v>
      </c>
      <c r="J36" s="7" t="s">
        <v>256</v>
      </c>
      <c r="K36" s="7" t="s">
        <v>257</v>
      </c>
      <c r="L36" s="50" t="s">
        <v>552</v>
      </c>
      <c r="M36" s="8" t="s">
        <v>37</v>
      </c>
      <c r="N36" s="7" t="s">
        <v>258</v>
      </c>
      <c r="O36" s="9"/>
      <c r="P36" s="7" t="s">
        <v>553</v>
      </c>
      <c r="Q36" s="7">
        <v>2.0</v>
      </c>
      <c r="R36" s="7">
        <v>0.0</v>
      </c>
      <c r="S36" s="7" t="s">
        <v>258</v>
      </c>
      <c r="T36" s="7">
        <v>1.0</v>
      </c>
    </row>
    <row r="37" ht="22.5" customHeight="1">
      <c r="A37" s="7">
        <v>36.0</v>
      </c>
      <c r="B37" s="7" t="s">
        <v>8</v>
      </c>
      <c r="C37" s="7" t="s">
        <v>526</v>
      </c>
      <c r="D37" s="8" t="s">
        <v>250</v>
      </c>
      <c r="E37" s="8" t="s">
        <v>554</v>
      </c>
      <c r="F37" s="7" t="s">
        <v>457</v>
      </c>
      <c r="G37" s="9"/>
      <c r="H37" s="9"/>
      <c r="I37" s="7" t="s">
        <v>264</v>
      </c>
      <c r="J37" s="7" t="s">
        <v>256</v>
      </c>
      <c r="K37" s="7" t="s">
        <v>257</v>
      </c>
      <c r="L37" s="50" t="s">
        <v>552</v>
      </c>
      <c r="M37" s="8" t="s">
        <v>37</v>
      </c>
      <c r="N37" s="7" t="s">
        <v>258</v>
      </c>
      <c r="O37" s="9"/>
      <c r="P37" s="7" t="s">
        <v>555</v>
      </c>
      <c r="Q37" s="7">
        <v>2.0</v>
      </c>
      <c r="R37" s="7">
        <v>0.0</v>
      </c>
      <c r="S37" s="7" t="s">
        <v>258</v>
      </c>
      <c r="T37" s="7">
        <v>1.0</v>
      </c>
    </row>
    <row r="38" ht="22.5" customHeight="1">
      <c r="A38" s="7">
        <v>37.0</v>
      </c>
      <c r="B38" s="7" t="s">
        <v>8</v>
      </c>
      <c r="C38" s="7" t="s">
        <v>526</v>
      </c>
      <c r="D38" s="8" t="s">
        <v>234</v>
      </c>
      <c r="E38" s="8" t="s">
        <v>556</v>
      </c>
      <c r="F38" s="7" t="s">
        <v>37</v>
      </c>
      <c r="G38" s="7" t="s">
        <v>236</v>
      </c>
      <c r="H38" s="7" t="s">
        <v>236</v>
      </c>
      <c r="I38" s="7" t="s">
        <v>448</v>
      </c>
      <c r="J38" s="7" t="s">
        <v>276</v>
      </c>
      <c r="K38" s="7" t="s">
        <v>24</v>
      </c>
      <c r="L38" s="50" t="s">
        <v>557</v>
      </c>
      <c r="M38" s="8" t="s">
        <v>558</v>
      </c>
      <c r="N38" s="7" t="s">
        <v>240</v>
      </c>
      <c r="O38" s="9"/>
      <c r="P38" s="7" t="s">
        <v>559</v>
      </c>
      <c r="Q38" s="7">
        <v>2.0</v>
      </c>
      <c r="R38" s="7">
        <v>0.0</v>
      </c>
      <c r="S38" s="7" t="s">
        <v>240</v>
      </c>
      <c r="T38" s="7">
        <v>1.0</v>
      </c>
    </row>
    <row r="39" ht="22.5" customHeight="1">
      <c r="A39" s="7">
        <v>38.0</v>
      </c>
      <c r="B39" s="7" t="s">
        <v>8</v>
      </c>
      <c r="C39" s="7" t="s">
        <v>560</v>
      </c>
      <c r="D39" s="8" t="s">
        <v>250</v>
      </c>
      <c r="E39" s="8" t="s">
        <v>561</v>
      </c>
      <c r="F39" s="7" t="s">
        <v>487</v>
      </c>
      <c r="G39" s="9"/>
      <c r="H39" s="9"/>
      <c r="I39" s="7" t="s">
        <v>264</v>
      </c>
      <c r="J39" s="7" t="s">
        <v>256</v>
      </c>
      <c r="K39" s="7" t="s">
        <v>257</v>
      </c>
      <c r="L39" s="50" t="s">
        <v>562</v>
      </c>
      <c r="M39" s="8" t="s">
        <v>37</v>
      </c>
      <c r="N39" s="7" t="s">
        <v>258</v>
      </c>
      <c r="O39" s="9"/>
      <c r="P39" s="7" t="s">
        <v>563</v>
      </c>
      <c r="Q39" s="7">
        <v>2.0</v>
      </c>
      <c r="R39" s="7">
        <v>0.0</v>
      </c>
      <c r="S39" s="7" t="s">
        <v>258</v>
      </c>
      <c r="T39" s="7">
        <v>1.0</v>
      </c>
    </row>
    <row r="40" ht="22.5" customHeight="1">
      <c r="A40" s="7">
        <v>39.0</v>
      </c>
      <c r="B40" s="7" t="s">
        <v>8</v>
      </c>
      <c r="C40" s="7" t="s">
        <v>560</v>
      </c>
      <c r="D40" s="8" t="s">
        <v>250</v>
      </c>
      <c r="E40" s="8" t="s">
        <v>564</v>
      </c>
      <c r="F40" s="7" t="s">
        <v>487</v>
      </c>
      <c r="G40" s="9"/>
      <c r="H40" s="9"/>
      <c r="I40" s="7" t="s">
        <v>264</v>
      </c>
      <c r="J40" s="7" t="s">
        <v>256</v>
      </c>
      <c r="K40" s="7" t="s">
        <v>257</v>
      </c>
      <c r="L40" s="50" t="s">
        <v>562</v>
      </c>
      <c r="M40" s="8" t="s">
        <v>37</v>
      </c>
      <c r="N40" s="7" t="s">
        <v>258</v>
      </c>
      <c r="O40" s="9"/>
      <c r="P40" s="7" t="s">
        <v>565</v>
      </c>
      <c r="Q40" s="7">
        <v>2.0</v>
      </c>
      <c r="R40" s="7">
        <v>0.0</v>
      </c>
      <c r="S40" s="7" t="s">
        <v>258</v>
      </c>
      <c r="T40" s="7">
        <v>1.0</v>
      </c>
    </row>
    <row r="41" ht="22.5" customHeight="1">
      <c r="A41" s="7">
        <v>40.0</v>
      </c>
      <c r="B41" s="7" t="s">
        <v>8</v>
      </c>
      <c r="C41" s="7" t="s">
        <v>560</v>
      </c>
      <c r="D41" s="8" t="s">
        <v>250</v>
      </c>
      <c r="E41" s="8" t="s">
        <v>566</v>
      </c>
      <c r="F41" s="7" t="s">
        <v>487</v>
      </c>
      <c r="G41" s="9"/>
      <c r="H41" s="9"/>
      <c r="I41" s="7" t="s">
        <v>264</v>
      </c>
      <c r="J41" s="7" t="s">
        <v>256</v>
      </c>
      <c r="K41" s="7" t="s">
        <v>257</v>
      </c>
      <c r="L41" s="50" t="s">
        <v>562</v>
      </c>
      <c r="M41" s="8" t="s">
        <v>37</v>
      </c>
      <c r="N41" s="7" t="s">
        <v>258</v>
      </c>
      <c r="O41" s="9"/>
      <c r="P41" s="7" t="s">
        <v>567</v>
      </c>
      <c r="Q41" s="7">
        <v>2.0</v>
      </c>
      <c r="R41" s="7">
        <v>0.0</v>
      </c>
      <c r="S41" s="7" t="s">
        <v>258</v>
      </c>
      <c r="T41" s="7">
        <v>1.0</v>
      </c>
    </row>
    <row r="42" ht="22.5" customHeight="1">
      <c r="A42" s="7">
        <v>41.0</v>
      </c>
      <c r="B42" s="7" t="s">
        <v>8</v>
      </c>
      <c r="C42" s="7" t="s">
        <v>560</v>
      </c>
      <c r="D42" s="8" t="s">
        <v>250</v>
      </c>
      <c r="E42" s="8" t="s">
        <v>568</v>
      </c>
      <c r="F42" s="7" t="s">
        <v>487</v>
      </c>
      <c r="G42" s="9"/>
      <c r="H42" s="9"/>
      <c r="I42" s="7" t="s">
        <v>264</v>
      </c>
      <c r="J42" s="7" t="s">
        <v>256</v>
      </c>
      <c r="K42" s="7" t="s">
        <v>257</v>
      </c>
      <c r="L42" s="50" t="s">
        <v>562</v>
      </c>
      <c r="M42" s="8" t="s">
        <v>37</v>
      </c>
      <c r="N42" s="7" t="s">
        <v>258</v>
      </c>
      <c r="O42" s="9"/>
      <c r="P42" s="7" t="s">
        <v>569</v>
      </c>
      <c r="Q42" s="7">
        <v>2.0</v>
      </c>
      <c r="R42" s="7">
        <v>0.0</v>
      </c>
      <c r="S42" s="7" t="s">
        <v>258</v>
      </c>
      <c r="T42" s="7">
        <v>1.0</v>
      </c>
    </row>
    <row r="43" ht="22.5" customHeight="1">
      <c r="A43" s="7">
        <v>42.0</v>
      </c>
      <c r="B43" s="7" t="s">
        <v>8</v>
      </c>
      <c r="C43" s="7" t="s">
        <v>560</v>
      </c>
      <c r="D43" s="8" t="s">
        <v>250</v>
      </c>
      <c r="E43" s="8" t="s">
        <v>570</v>
      </c>
      <c r="F43" s="7" t="s">
        <v>487</v>
      </c>
      <c r="G43" s="9"/>
      <c r="H43" s="9"/>
      <c r="I43" s="7" t="s">
        <v>264</v>
      </c>
      <c r="J43" s="7" t="s">
        <v>256</v>
      </c>
      <c r="K43" s="7" t="s">
        <v>257</v>
      </c>
      <c r="L43" s="50" t="s">
        <v>562</v>
      </c>
      <c r="M43" s="8" t="s">
        <v>37</v>
      </c>
      <c r="N43" s="7" t="s">
        <v>258</v>
      </c>
      <c r="O43" s="9"/>
      <c r="P43" s="7" t="s">
        <v>571</v>
      </c>
      <c r="Q43" s="7">
        <v>2.0</v>
      </c>
      <c r="R43" s="7">
        <v>0.0</v>
      </c>
      <c r="S43" s="7" t="s">
        <v>258</v>
      </c>
      <c r="T43" s="7">
        <v>1.0</v>
      </c>
    </row>
    <row r="44" ht="22.5" customHeight="1">
      <c r="A44" s="7">
        <v>43.0</v>
      </c>
      <c r="B44" s="7" t="s">
        <v>8</v>
      </c>
      <c r="C44" s="7" t="s">
        <v>560</v>
      </c>
      <c r="D44" s="8" t="s">
        <v>250</v>
      </c>
      <c r="E44" s="8" t="s">
        <v>572</v>
      </c>
      <c r="F44" s="7" t="s">
        <v>487</v>
      </c>
      <c r="G44" s="9"/>
      <c r="H44" s="9"/>
      <c r="I44" s="7" t="s">
        <v>264</v>
      </c>
      <c r="J44" s="7" t="s">
        <v>256</v>
      </c>
      <c r="K44" s="7" t="s">
        <v>257</v>
      </c>
      <c r="L44" s="50" t="s">
        <v>562</v>
      </c>
      <c r="M44" s="8" t="s">
        <v>37</v>
      </c>
      <c r="N44" s="7" t="s">
        <v>258</v>
      </c>
      <c r="O44" s="9"/>
      <c r="P44" s="7" t="s">
        <v>573</v>
      </c>
      <c r="Q44" s="7">
        <v>2.0</v>
      </c>
      <c r="R44" s="7">
        <v>0.0</v>
      </c>
      <c r="S44" s="7" t="s">
        <v>258</v>
      </c>
      <c r="T44" s="7">
        <v>1.0</v>
      </c>
    </row>
    <row r="45" ht="22.5" customHeight="1">
      <c r="A45" s="7">
        <v>44.0</v>
      </c>
      <c r="B45" s="7" t="s">
        <v>8</v>
      </c>
      <c r="C45" s="7" t="s">
        <v>560</v>
      </c>
      <c r="D45" s="8" t="s">
        <v>250</v>
      </c>
      <c r="E45" s="8" t="s">
        <v>574</v>
      </c>
      <c r="F45" s="7" t="s">
        <v>487</v>
      </c>
      <c r="G45" s="9"/>
      <c r="H45" s="9"/>
      <c r="I45" s="7" t="s">
        <v>264</v>
      </c>
      <c r="J45" s="7" t="s">
        <v>256</v>
      </c>
      <c r="K45" s="7" t="s">
        <v>257</v>
      </c>
      <c r="L45" s="50" t="s">
        <v>562</v>
      </c>
      <c r="M45" s="8" t="s">
        <v>37</v>
      </c>
      <c r="N45" s="7" t="s">
        <v>258</v>
      </c>
      <c r="O45" s="9"/>
      <c r="P45" s="7" t="s">
        <v>575</v>
      </c>
      <c r="Q45" s="7">
        <v>2.0</v>
      </c>
      <c r="R45" s="7">
        <v>0.0</v>
      </c>
      <c r="S45" s="7" t="s">
        <v>258</v>
      </c>
      <c r="T45" s="7">
        <v>1.0</v>
      </c>
    </row>
    <row r="46" ht="22.5" customHeight="1">
      <c r="A46" s="7">
        <v>45.0</v>
      </c>
      <c r="B46" s="7" t="s">
        <v>8</v>
      </c>
      <c r="C46" s="7" t="s">
        <v>560</v>
      </c>
      <c r="D46" s="8" t="s">
        <v>250</v>
      </c>
      <c r="E46" s="8" t="s">
        <v>576</v>
      </c>
      <c r="F46" s="7" t="s">
        <v>487</v>
      </c>
      <c r="G46" s="9"/>
      <c r="H46" s="9"/>
      <c r="I46" s="7" t="s">
        <v>264</v>
      </c>
      <c r="J46" s="7" t="s">
        <v>256</v>
      </c>
      <c r="K46" s="7" t="s">
        <v>257</v>
      </c>
      <c r="L46" s="50" t="s">
        <v>562</v>
      </c>
      <c r="M46" s="8" t="s">
        <v>37</v>
      </c>
      <c r="N46" s="7" t="s">
        <v>258</v>
      </c>
      <c r="O46" s="9"/>
      <c r="P46" s="7" t="s">
        <v>577</v>
      </c>
      <c r="Q46" s="7">
        <v>2.0</v>
      </c>
      <c r="R46" s="7">
        <v>0.0</v>
      </c>
      <c r="S46" s="7" t="s">
        <v>258</v>
      </c>
      <c r="T46" s="7">
        <v>1.0</v>
      </c>
    </row>
    <row r="47" ht="22.5" customHeight="1">
      <c r="A47" s="7">
        <v>46.0</v>
      </c>
      <c r="B47" s="7" t="s">
        <v>8</v>
      </c>
      <c r="C47" s="7" t="s">
        <v>578</v>
      </c>
      <c r="D47" s="7" t="s">
        <v>234</v>
      </c>
      <c r="E47" s="7" t="s">
        <v>579</v>
      </c>
      <c r="F47" s="7" t="s">
        <v>37</v>
      </c>
      <c r="G47" s="7" t="s">
        <v>236</v>
      </c>
      <c r="H47" s="7" t="s">
        <v>236</v>
      </c>
      <c r="I47" s="7" t="s">
        <v>448</v>
      </c>
      <c r="J47" s="7" t="s">
        <v>276</v>
      </c>
      <c r="K47" s="7" t="s">
        <v>24</v>
      </c>
      <c r="L47" s="50" t="s">
        <v>238</v>
      </c>
      <c r="M47" s="8" t="s">
        <v>580</v>
      </c>
      <c r="N47" s="7" t="s">
        <v>240</v>
      </c>
      <c r="O47" s="9"/>
      <c r="P47" s="7" t="s">
        <v>581</v>
      </c>
      <c r="Q47" s="7">
        <v>2.0</v>
      </c>
      <c r="R47" s="7">
        <v>0.0</v>
      </c>
      <c r="S47" s="7" t="s">
        <v>240</v>
      </c>
      <c r="T47" s="7">
        <v>1.0</v>
      </c>
    </row>
    <row r="48" ht="22.5" customHeight="1">
      <c r="A48" s="7">
        <v>47.0</v>
      </c>
      <c r="B48" s="7" t="s">
        <v>8</v>
      </c>
      <c r="C48" s="7" t="s">
        <v>578</v>
      </c>
      <c r="D48" s="7" t="s">
        <v>234</v>
      </c>
      <c r="E48" s="7" t="s">
        <v>582</v>
      </c>
      <c r="F48" s="7" t="s">
        <v>37</v>
      </c>
      <c r="G48" s="7" t="s">
        <v>236</v>
      </c>
      <c r="H48" s="7" t="s">
        <v>236</v>
      </c>
      <c r="I48" s="7" t="s">
        <v>448</v>
      </c>
      <c r="J48" s="7" t="s">
        <v>276</v>
      </c>
      <c r="K48" s="7" t="s">
        <v>24</v>
      </c>
      <c r="L48" s="50" t="s">
        <v>515</v>
      </c>
      <c r="M48" s="8" t="s">
        <v>583</v>
      </c>
      <c r="N48" s="7" t="s">
        <v>240</v>
      </c>
      <c r="O48" s="9"/>
      <c r="P48" s="7" t="s">
        <v>584</v>
      </c>
      <c r="Q48" s="7">
        <v>2.0</v>
      </c>
      <c r="R48" s="7">
        <v>0.0</v>
      </c>
      <c r="S48" s="7" t="s">
        <v>240</v>
      </c>
      <c r="T48" s="7">
        <v>1.0</v>
      </c>
    </row>
    <row r="49" ht="22.5" customHeight="1">
      <c r="A49" s="7">
        <v>48.0</v>
      </c>
      <c r="B49" s="7" t="s">
        <v>8</v>
      </c>
      <c r="C49" s="7" t="s">
        <v>578</v>
      </c>
      <c r="D49" s="7" t="s">
        <v>242</v>
      </c>
      <c r="E49" s="7" t="s">
        <v>585</v>
      </c>
      <c r="F49" s="7" t="s">
        <v>37</v>
      </c>
      <c r="G49" s="7" t="s">
        <v>236</v>
      </c>
      <c r="H49" s="7" t="s">
        <v>236</v>
      </c>
      <c r="I49" s="7" t="s">
        <v>244</v>
      </c>
      <c r="J49" s="7" t="s">
        <v>276</v>
      </c>
      <c r="K49" s="7" t="s">
        <v>256</v>
      </c>
      <c r="L49" s="50" t="s">
        <v>586</v>
      </c>
      <c r="M49" s="8" t="s">
        <v>587</v>
      </c>
      <c r="N49" s="9"/>
      <c r="O49" s="9"/>
      <c r="P49" s="7" t="s">
        <v>588</v>
      </c>
      <c r="Q49" s="7">
        <v>9.0</v>
      </c>
      <c r="R49" s="7">
        <v>0.0</v>
      </c>
      <c r="S49" s="7"/>
      <c r="T49" s="7">
        <v>1.0</v>
      </c>
    </row>
    <row r="50" ht="22.5" customHeight="1">
      <c r="A50" s="7">
        <v>49.0</v>
      </c>
      <c r="B50" s="7" t="s">
        <v>8</v>
      </c>
      <c r="C50" s="7" t="s">
        <v>578</v>
      </c>
      <c r="D50" s="7" t="s">
        <v>242</v>
      </c>
      <c r="E50" s="8" t="s">
        <v>589</v>
      </c>
      <c r="F50" s="7" t="s">
        <v>37</v>
      </c>
      <c r="G50" s="7" t="s">
        <v>236</v>
      </c>
      <c r="H50" s="7" t="s">
        <v>236</v>
      </c>
      <c r="I50" s="7" t="s">
        <v>244</v>
      </c>
      <c r="J50" s="7" t="s">
        <v>276</v>
      </c>
      <c r="K50" s="7" t="s">
        <v>256</v>
      </c>
      <c r="L50" s="50" t="s">
        <v>590</v>
      </c>
      <c r="M50" s="8" t="s">
        <v>591</v>
      </c>
      <c r="N50" s="9"/>
      <c r="O50" s="9"/>
      <c r="P50" s="7" t="s">
        <v>592</v>
      </c>
      <c r="Q50" s="7">
        <v>4.0</v>
      </c>
      <c r="R50" s="7">
        <v>0.0</v>
      </c>
      <c r="S50" s="7"/>
      <c r="T50" s="7">
        <v>1.0</v>
      </c>
    </row>
    <row r="51" ht="22.5" customHeight="1">
      <c r="A51" s="7">
        <v>50.0</v>
      </c>
      <c r="B51" s="7" t="s">
        <v>8</v>
      </c>
      <c r="C51" s="7" t="s">
        <v>578</v>
      </c>
      <c r="D51" s="8" t="s">
        <v>250</v>
      </c>
      <c r="E51" s="8" t="s">
        <v>593</v>
      </c>
      <c r="F51" s="7" t="s">
        <v>487</v>
      </c>
      <c r="G51" s="9"/>
      <c r="H51" s="9"/>
      <c r="I51" s="7" t="s">
        <v>264</v>
      </c>
      <c r="J51" s="7" t="s">
        <v>256</v>
      </c>
      <c r="K51" s="7" t="s">
        <v>257</v>
      </c>
      <c r="L51" s="50" t="s">
        <v>594</v>
      </c>
      <c r="M51" s="8" t="s">
        <v>37</v>
      </c>
      <c r="N51" s="7" t="s">
        <v>258</v>
      </c>
      <c r="O51" s="9"/>
      <c r="P51" s="7" t="s">
        <v>595</v>
      </c>
      <c r="Q51" s="7">
        <v>2.0</v>
      </c>
      <c r="R51" s="7">
        <v>0.0</v>
      </c>
      <c r="S51" s="7" t="s">
        <v>258</v>
      </c>
      <c r="T51" s="7">
        <v>1.0</v>
      </c>
    </row>
    <row r="52" ht="22.5" customHeight="1">
      <c r="A52" s="7">
        <v>51.0</v>
      </c>
      <c r="B52" s="7" t="s">
        <v>8</v>
      </c>
      <c r="C52" s="7" t="s">
        <v>578</v>
      </c>
      <c r="D52" s="8" t="s">
        <v>250</v>
      </c>
      <c r="E52" s="8" t="s">
        <v>596</v>
      </c>
      <c r="F52" s="7" t="s">
        <v>487</v>
      </c>
      <c r="G52" s="9"/>
      <c r="H52" s="9"/>
      <c r="I52" s="7" t="s">
        <v>264</v>
      </c>
      <c r="J52" s="7" t="s">
        <v>256</v>
      </c>
      <c r="K52" s="7" t="s">
        <v>257</v>
      </c>
      <c r="L52" s="50" t="s">
        <v>594</v>
      </c>
      <c r="M52" s="8" t="s">
        <v>37</v>
      </c>
      <c r="N52" s="7" t="s">
        <v>258</v>
      </c>
      <c r="O52" s="9"/>
      <c r="P52" s="7" t="s">
        <v>597</v>
      </c>
      <c r="Q52" s="7">
        <v>2.0</v>
      </c>
      <c r="R52" s="7">
        <v>0.0</v>
      </c>
      <c r="S52" s="7" t="s">
        <v>258</v>
      </c>
      <c r="T52" s="7">
        <v>1.0</v>
      </c>
    </row>
    <row r="53" ht="22.5" customHeight="1">
      <c r="A53" s="7">
        <v>52.0</v>
      </c>
      <c r="B53" s="7" t="s">
        <v>8</v>
      </c>
      <c r="C53" s="7" t="s">
        <v>578</v>
      </c>
      <c r="D53" s="8" t="s">
        <v>250</v>
      </c>
      <c r="E53" s="7" t="s">
        <v>598</v>
      </c>
      <c r="F53" s="7" t="s">
        <v>599</v>
      </c>
      <c r="G53" s="7"/>
      <c r="H53" s="7"/>
      <c r="I53" s="7" t="s">
        <v>244</v>
      </c>
      <c r="J53" s="7" t="s">
        <v>256</v>
      </c>
      <c r="K53" s="7" t="s">
        <v>257</v>
      </c>
      <c r="L53" s="50"/>
      <c r="M53" s="8" t="s">
        <v>37</v>
      </c>
      <c r="N53" s="7" t="s">
        <v>258</v>
      </c>
      <c r="O53" s="9"/>
      <c r="P53" s="7" t="s">
        <v>600</v>
      </c>
      <c r="Q53" s="7">
        <v>2.0</v>
      </c>
      <c r="R53" s="7">
        <v>0.0</v>
      </c>
      <c r="S53" s="7" t="s">
        <v>258</v>
      </c>
      <c r="T53" s="7">
        <v>1.0</v>
      </c>
    </row>
    <row r="54" ht="22.5" customHeight="1">
      <c r="A54" s="7">
        <v>53.0</v>
      </c>
      <c r="B54" s="7" t="s">
        <v>8</v>
      </c>
      <c r="C54" s="7" t="s">
        <v>578</v>
      </c>
      <c r="D54" s="8" t="s">
        <v>250</v>
      </c>
      <c r="E54" s="7" t="s">
        <v>601</v>
      </c>
      <c r="F54" s="7" t="s">
        <v>599</v>
      </c>
      <c r="G54" s="7"/>
      <c r="H54" s="7"/>
      <c r="I54" s="7" t="s">
        <v>244</v>
      </c>
      <c r="J54" s="7" t="s">
        <v>256</v>
      </c>
      <c r="K54" s="7" t="s">
        <v>257</v>
      </c>
      <c r="L54" s="8"/>
      <c r="M54" s="8" t="s">
        <v>37</v>
      </c>
      <c r="N54" s="7" t="s">
        <v>258</v>
      </c>
      <c r="O54" s="9"/>
      <c r="P54" s="7" t="s">
        <v>602</v>
      </c>
      <c r="Q54" s="7">
        <v>2.0</v>
      </c>
      <c r="R54" s="7">
        <v>0.0</v>
      </c>
      <c r="S54" s="7" t="s">
        <v>258</v>
      </c>
      <c r="T54" s="7">
        <v>1.0</v>
      </c>
    </row>
    <row r="55" ht="22.5" customHeight="1">
      <c r="A55" s="7">
        <v>54.0</v>
      </c>
      <c r="B55" s="7" t="s">
        <v>8</v>
      </c>
      <c r="C55" s="7" t="s">
        <v>578</v>
      </c>
      <c r="D55" s="8" t="s">
        <v>250</v>
      </c>
      <c r="E55" s="7" t="s">
        <v>603</v>
      </c>
      <c r="F55" s="7" t="s">
        <v>599</v>
      </c>
      <c r="G55" s="7"/>
      <c r="H55" s="7"/>
      <c r="I55" s="7" t="s">
        <v>244</v>
      </c>
      <c r="J55" s="7" t="s">
        <v>256</v>
      </c>
      <c r="K55" s="7" t="s">
        <v>257</v>
      </c>
      <c r="L55" s="8"/>
      <c r="M55" s="8" t="s">
        <v>37</v>
      </c>
      <c r="N55" s="7" t="s">
        <v>258</v>
      </c>
      <c r="O55" s="9"/>
      <c r="P55" s="7" t="s">
        <v>604</v>
      </c>
      <c r="Q55" s="7">
        <v>2.0</v>
      </c>
      <c r="R55" s="7">
        <v>0.0</v>
      </c>
      <c r="S55" s="7" t="s">
        <v>258</v>
      </c>
      <c r="T55" s="7">
        <v>1.0</v>
      </c>
    </row>
    <row r="56" ht="22.5" customHeight="1">
      <c r="A56" s="7">
        <v>55.0</v>
      </c>
      <c r="B56" s="7" t="s">
        <v>8</v>
      </c>
      <c r="C56" s="7" t="s">
        <v>578</v>
      </c>
      <c r="D56" s="8" t="s">
        <v>250</v>
      </c>
      <c r="E56" s="7" t="s">
        <v>605</v>
      </c>
      <c r="F56" s="7" t="s">
        <v>599</v>
      </c>
      <c r="G56" s="7"/>
      <c r="H56" s="7"/>
      <c r="I56" s="7" t="s">
        <v>244</v>
      </c>
      <c r="J56" s="7" t="s">
        <v>256</v>
      </c>
      <c r="K56" s="7" t="s">
        <v>257</v>
      </c>
      <c r="L56" s="8"/>
      <c r="M56" s="8" t="s">
        <v>37</v>
      </c>
      <c r="N56" s="7" t="s">
        <v>258</v>
      </c>
      <c r="O56" s="9"/>
      <c r="P56" s="7" t="s">
        <v>606</v>
      </c>
      <c r="Q56" s="7">
        <v>2.0</v>
      </c>
      <c r="R56" s="7">
        <v>0.0</v>
      </c>
      <c r="S56" s="7" t="s">
        <v>258</v>
      </c>
      <c r="T56" s="7">
        <v>1.0</v>
      </c>
    </row>
    <row r="57" ht="22.5" customHeight="1">
      <c r="A57" s="7">
        <v>56.0</v>
      </c>
      <c r="B57" s="7" t="s">
        <v>8</v>
      </c>
      <c r="C57" s="7" t="s">
        <v>578</v>
      </c>
      <c r="D57" s="8" t="s">
        <v>250</v>
      </c>
      <c r="E57" s="7" t="s">
        <v>607</v>
      </c>
      <c r="F57" s="7" t="s">
        <v>599</v>
      </c>
      <c r="G57" s="7"/>
      <c r="H57" s="7"/>
      <c r="I57" s="7" t="s">
        <v>244</v>
      </c>
      <c r="J57" s="7" t="s">
        <v>256</v>
      </c>
      <c r="K57" s="7" t="s">
        <v>257</v>
      </c>
      <c r="L57" s="8"/>
      <c r="M57" s="8" t="s">
        <v>37</v>
      </c>
      <c r="N57" s="7" t="s">
        <v>258</v>
      </c>
      <c r="O57" s="9"/>
      <c r="P57" s="7" t="s">
        <v>608</v>
      </c>
      <c r="Q57" s="7">
        <v>2.0</v>
      </c>
      <c r="R57" s="7">
        <v>0.0</v>
      </c>
      <c r="S57" s="7" t="s">
        <v>258</v>
      </c>
      <c r="T57" s="7">
        <v>1.0</v>
      </c>
    </row>
    <row r="58" ht="22.5" customHeight="1">
      <c r="A58" s="7">
        <v>57.0</v>
      </c>
      <c r="B58" s="7" t="s">
        <v>8</v>
      </c>
      <c r="C58" s="7" t="s">
        <v>578</v>
      </c>
      <c r="D58" s="8" t="s">
        <v>250</v>
      </c>
      <c r="E58" s="7" t="s">
        <v>609</v>
      </c>
      <c r="F58" s="7" t="s">
        <v>599</v>
      </c>
      <c r="G58" s="7"/>
      <c r="H58" s="7"/>
      <c r="I58" s="7" t="s">
        <v>244</v>
      </c>
      <c r="J58" s="7" t="s">
        <v>256</v>
      </c>
      <c r="K58" s="7" t="s">
        <v>257</v>
      </c>
      <c r="L58" s="8"/>
      <c r="M58" s="8" t="s">
        <v>37</v>
      </c>
      <c r="N58" s="7" t="s">
        <v>258</v>
      </c>
      <c r="O58" s="9"/>
      <c r="P58" s="7" t="s">
        <v>610</v>
      </c>
      <c r="Q58" s="7">
        <v>2.0</v>
      </c>
      <c r="R58" s="7">
        <v>0.0</v>
      </c>
      <c r="S58" s="7" t="s">
        <v>258</v>
      </c>
      <c r="T58" s="7">
        <v>1.0</v>
      </c>
    </row>
    <row r="59" ht="22.5" customHeight="1">
      <c r="A59" s="7"/>
      <c r="B59" s="7"/>
      <c r="C59" s="7"/>
      <c r="D59" s="8"/>
      <c r="E59" s="7"/>
      <c r="F59" s="7"/>
      <c r="G59" s="7"/>
      <c r="H59" s="7"/>
      <c r="I59" s="7"/>
      <c r="J59" s="7"/>
      <c r="K59" s="7"/>
      <c r="L59" s="8"/>
      <c r="M59" s="8"/>
      <c r="N59" s="9"/>
      <c r="O59" s="9"/>
      <c r="P59" s="7"/>
      <c r="Q59" s="32">
        <f>SUM(Q2:Q58)</f>
        <v>148</v>
      </c>
      <c r="R59" s="32">
        <v>0.0</v>
      </c>
      <c r="S59" s="7"/>
      <c r="T59" s="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3" width="22.63"/>
    <col customWidth="1" min="4" max="4" width="21.5"/>
    <col customWidth="1" min="5" max="5" width="56.63"/>
    <col customWidth="1" min="6" max="9" width="22.63"/>
    <col customWidth="1" min="10" max="10" width="38.13"/>
    <col customWidth="1" min="11" max="11" width="24.75"/>
    <col customWidth="1" min="12" max="12" width="35.25"/>
    <col customWidth="1" min="13" max="13" width="54.25"/>
    <col customWidth="1" min="14" max="14" width="17.75"/>
    <col customWidth="1" min="15" max="15" width="68.75"/>
    <col customWidth="1" min="17" max="17" width="21.88"/>
  </cols>
  <sheetData>
    <row r="1" ht="22.5" customHeight="1">
      <c r="A1" s="4" t="s">
        <v>11</v>
      </c>
      <c r="B1" s="4" t="s">
        <v>2</v>
      </c>
      <c r="C1" s="4" t="s">
        <v>12</v>
      </c>
      <c r="D1" s="4" t="s">
        <v>424</v>
      </c>
      <c r="E1" s="4" t="s">
        <v>13</v>
      </c>
      <c r="F1" s="4" t="s">
        <v>223</v>
      </c>
      <c r="G1" s="4" t="s">
        <v>199</v>
      </c>
      <c r="H1" s="4" t="s">
        <v>201</v>
      </c>
      <c r="I1" s="4" t="s">
        <v>224</v>
      </c>
      <c r="J1" s="4" t="s">
        <v>611</v>
      </c>
      <c r="K1" s="4" t="s">
        <v>226</v>
      </c>
      <c r="L1" s="4" t="s">
        <v>227</v>
      </c>
      <c r="M1" s="4" t="s">
        <v>15</v>
      </c>
      <c r="N1" s="5" t="s">
        <v>441</v>
      </c>
      <c r="O1" s="5" t="s">
        <v>612</v>
      </c>
      <c r="P1" s="5" t="s">
        <v>230</v>
      </c>
      <c r="Q1" s="5" t="s">
        <v>228</v>
      </c>
      <c r="R1" s="5" t="s">
        <v>232</v>
      </c>
    </row>
    <row r="2" ht="22.5" customHeight="1">
      <c r="A2" s="7">
        <v>1.0</v>
      </c>
      <c r="B2" s="7" t="s">
        <v>7</v>
      </c>
      <c r="C2" s="7" t="s">
        <v>137</v>
      </c>
      <c r="D2" s="8" t="s">
        <v>234</v>
      </c>
      <c r="E2" s="51" t="s">
        <v>613</v>
      </c>
      <c r="F2" s="7" t="s">
        <v>37</v>
      </c>
      <c r="G2" s="7" t="s">
        <v>236</v>
      </c>
      <c r="H2" s="7" t="s">
        <v>236</v>
      </c>
      <c r="I2" s="7" t="s">
        <v>244</v>
      </c>
      <c r="J2" s="7"/>
      <c r="K2" s="7" t="s">
        <v>276</v>
      </c>
      <c r="L2" s="7" t="s">
        <v>24</v>
      </c>
      <c r="M2" s="8" t="s">
        <v>614</v>
      </c>
      <c r="N2" s="9"/>
      <c r="O2" s="7" t="s">
        <v>615</v>
      </c>
      <c r="P2" s="7">
        <v>2.0</v>
      </c>
      <c r="Q2" s="7" t="s">
        <v>240</v>
      </c>
      <c r="R2" s="7">
        <v>1.0</v>
      </c>
    </row>
    <row r="3" ht="22.5" customHeight="1">
      <c r="A3" s="7">
        <v>2.0</v>
      </c>
      <c r="B3" s="7" t="s">
        <v>7</v>
      </c>
      <c r="C3" s="7" t="s">
        <v>137</v>
      </c>
      <c r="D3" s="8" t="s">
        <v>234</v>
      </c>
      <c r="E3" s="51" t="s">
        <v>616</v>
      </c>
      <c r="F3" s="7" t="s">
        <v>37</v>
      </c>
      <c r="G3" s="7" t="s">
        <v>236</v>
      </c>
      <c r="H3" s="7" t="s">
        <v>236</v>
      </c>
      <c r="I3" s="7" t="s">
        <v>244</v>
      </c>
      <c r="J3" s="7"/>
      <c r="K3" s="7" t="s">
        <v>276</v>
      </c>
      <c r="L3" s="7" t="s">
        <v>24</v>
      </c>
      <c r="M3" s="8" t="s">
        <v>617</v>
      </c>
      <c r="N3" s="9"/>
      <c r="O3" s="7" t="s">
        <v>618</v>
      </c>
      <c r="P3" s="7">
        <v>2.0</v>
      </c>
      <c r="Q3" s="7" t="s">
        <v>240</v>
      </c>
      <c r="R3" s="7">
        <v>1.0</v>
      </c>
    </row>
    <row r="4" ht="22.5" customHeight="1">
      <c r="A4" s="7">
        <v>3.0</v>
      </c>
      <c r="B4" s="7" t="s">
        <v>7</v>
      </c>
      <c r="C4" s="7" t="s">
        <v>137</v>
      </c>
      <c r="D4" s="8" t="s">
        <v>234</v>
      </c>
      <c r="E4" s="51" t="s">
        <v>619</v>
      </c>
      <c r="F4" s="7" t="s">
        <v>37</v>
      </c>
      <c r="G4" s="7" t="s">
        <v>236</v>
      </c>
      <c r="H4" s="7" t="s">
        <v>236</v>
      </c>
      <c r="I4" s="7" t="s">
        <v>244</v>
      </c>
      <c r="J4" s="7"/>
      <c r="K4" s="7" t="s">
        <v>276</v>
      </c>
      <c r="L4" s="7" t="s">
        <v>24</v>
      </c>
      <c r="M4" s="8" t="s">
        <v>620</v>
      </c>
      <c r="N4" s="9"/>
      <c r="O4" s="7" t="s">
        <v>621</v>
      </c>
      <c r="P4" s="7">
        <v>2.0</v>
      </c>
      <c r="Q4" s="7" t="s">
        <v>240</v>
      </c>
      <c r="R4" s="7">
        <v>1.0</v>
      </c>
    </row>
    <row r="5" ht="22.5" customHeight="1">
      <c r="A5" s="7">
        <v>4.0</v>
      </c>
      <c r="B5" s="7" t="s">
        <v>7</v>
      </c>
      <c r="C5" s="7" t="s">
        <v>137</v>
      </c>
      <c r="D5" s="8" t="s">
        <v>234</v>
      </c>
      <c r="E5" s="51" t="s">
        <v>622</v>
      </c>
      <c r="F5" s="7" t="s">
        <v>37</v>
      </c>
      <c r="G5" s="7" t="s">
        <v>236</v>
      </c>
      <c r="H5" s="7" t="s">
        <v>236</v>
      </c>
      <c r="I5" s="7" t="s">
        <v>244</v>
      </c>
      <c r="J5" s="7"/>
      <c r="K5" s="7" t="s">
        <v>276</v>
      </c>
      <c r="L5" s="7" t="s">
        <v>24</v>
      </c>
      <c r="M5" s="8" t="s">
        <v>623</v>
      </c>
      <c r="N5" s="9"/>
      <c r="O5" s="7" t="s">
        <v>624</v>
      </c>
      <c r="P5" s="7">
        <v>2.0</v>
      </c>
      <c r="Q5" s="7" t="s">
        <v>240</v>
      </c>
      <c r="R5" s="7">
        <v>1.0</v>
      </c>
    </row>
    <row r="6" ht="22.5" customHeight="1">
      <c r="A6" s="7">
        <v>5.0</v>
      </c>
      <c r="B6" s="7" t="s">
        <v>7</v>
      </c>
      <c r="C6" s="7" t="s">
        <v>137</v>
      </c>
      <c r="D6" s="8" t="s">
        <v>234</v>
      </c>
      <c r="E6" s="51" t="s">
        <v>625</v>
      </c>
      <c r="F6" s="7" t="s">
        <v>37</v>
      </c>
      <c r="G6" s="7" t="s">
        <v>236</v>
      </c>
      <c r="H6" s="7" t="s">
        <v>236</v>
      </c>
      <c r="I6" s="7" t="s">
        <v>244</v>
      </c>
      <c r="J6" s="7"/>
      <c r="K6" s="7" t="s">
        <v>276</v>
      </c>
      <c r="L6" s="7" t="s">
        <v>24</v>
      </c>
      <c r="M6" s="8" t="s">
        <v>626</v>
      </c>
      <c r="N6" s="9"/>
      <c r="O6" s="7" t="s">
        <v>627</v>
      </c>
      <c r="P6" s="7">
        <v>2.0</v>
      </c>
      <c r="Q6" s="7" t="s">
        <v>240</v>
      </c>
      <c r="R6" s="7">
        <v>1.0</v>
      </c>
    </row>
    <row r="7" ht="22.5" customHeight="1">
      <c r="A7" s="7">
        <v>6.0</v>
      </c>
      <c r="B7" s="7" t="s">
        <v>7</v>
      </c>
      <c r="C7" s="7" t="s">
        <v>137</v>
      </c>
      <c r="D7" s="8" t="s">
        <v>242</v>
      </c>
      <c r="E7" s="51" t="s">
        <v>628</v>
      </c>
      <c r="F7" s="7" t="s">
        <v>37</v>
      </c>
      <c r="G7" s="7" t="s">
        <v>236</v>
      </c>
      <c r="H7" s="7" t="s">
        <v>236</v>
      </c>
      <c r="I7" s="7" t="s">
        <v>244</v>
      </c>
      <c r="J7" s="7"/>
      <c r="K7" s="7" t="s">
        <v>276</v>
      </c>
      <c r="L7" s="7" t="s">
        <v>256</v>
      </c>
      <c r="M7" s="8" t="s">
        <v>629</v>
      </c>
      <c r="N7" s="9"/>
      <c r="O7" s="7" t="s">
        <v>630</v>
      </c>
      <c r="P7" s="7">
        <v>5.0</v>
      </c>
      <c r="Q7" s="7"/>
      <c r="R7" s="7">
        <v>1.0</v>
      </c>
    </row>
    <row r="8" ht="22.5" customHeight="1">
      <c r="A8" s="7">
        <v>7.0</v>
      </c>
      <c r="B8" s="7" t="s">
        <v>7</v>
      </c>
      <c r="C8" s="7" t="s">
        <v>137</v>
      </c>
      <c r="D8" s="8" t="s">
        <v>242</v>
      </c>
      <c r="E8" s="51" t="s">
        <v>631</v>
      </c>
      <c r="F8" s="7" t="s">
        <v>37</v>
      </c>
      <c r="G8" s="7" t="s">
        <v>236</v>
      </c>
      <c r="H8" s="7" t="s">
        <v>236</v>
      </c>
      <c r="I8" s="7" t="s">
        <v>244</v>
      </c>
      <c r="J8" s="7"/>
      <c r="K8" s="7" t="s">
        <v>276</v>
      </c>
      <c r="L8" s="7" t="s">
        <v>256</v>
      </c>
      <c r="M8" s="8" t="s">
        <v>632</v>
      </c>
      <c r="N8" s="9"/>
      <c r="O8" s="7" t="s">
        <v>633</v>
      </c>
      <c r="P8" s="7">
        <v>8.0</v>
      </c>
      <c r="Q8" s="7"/>
      <c r="R8" s="7">
        <v>1.0</v>
      </c>
    </row>
    <row r="9" ht="22.5" customHeight="1">
      <c r="A9" s="7">
        <v>8.0</v>
      </c>
      <c r="B9" s="7" t="s">
        <v>7</v>
      </c>
      <c r="C9" s="7" t="s">
        <v>137</v>
      </c>
      <c r="D9" s="8" t="s">
        <v>428</v>
      </c>
      <c r="E9" s="8" t="s">
        <v>634</v>
      </c>
      <c r="F9" s="7" t="s">
        <v>599</v>
      </c>
      <c r="G9" s="7" t="s">
        <v>253</v>
      </c>
      <c r="H9" s="7" t="s">
        <v>254</v>
      </c>
      <c r="I9" s="7" t="s">
        <v>244</v>
      </c>
      <c r="J9" s="7"/>
      <c r="K9" s="7" t="s">
        <v>256</v>
      </c>
      <c r="L9" s="7" t="s">
        <v>257</v>
      </c>
      <c r="M9" s="8" t="s">
        <v>37</v>
      </c>
      <c r="N9" s="9"/>
      <c r="O9" s="7" t="s">
        <v>635</v>
      </c>
      <c r="P9" s="7">
        <v>2.0</v>
      </c>
      <c r="Q9" s="7"/>
      <c r="R9" s="7">
        <v>1.0</v>
      </c>
    </row>
    <row r="10" ht="22.5" customHeight="1">
      <c r="A10" s="7">
        <v>9.0</v>
      </c>
      <c r="B10" s="7" t="s">
        <v>7</v>
      </c>
      <c r="C10" s="7" t="s">
        <v>137</v>
      </c>
      <c r="D10" s="8" t="s">
        <v>428</v>
      </c>
      <c r="E10" s="8" t="s">
        <v>636</v>
      </c>
      <c r="F10" s="7" t="s">
        <v>457</v>
      </c>
      <c r="G10" s="7" t="s">
        <v>253</v>
      </c>
      <c r="H10" s="7" t="s">
        <v>254</v>
      </c>
      <c r="I10" s="7" t="s">
        <v>244</v>
      </c>
      <c r="J10" s="7"/>
      <c r="K10" s="7" t="s">
        <v>256</v>
      </c>
      <c r="L10" s="7" t="s">
        <v>257</v>
      </c>
      <c r="M10" s="8" t="s">
        <v>37</v>
      </c>
      <c r="N10" s="9"/>
      <c r="O10" s="7" t="s">
        <v>637</v>
      </c>
      <c r="P10" s="7">
        <v>2.0</v>
      </c>
      <c r="Q10" s="7"/>
      <c r="R10" s="7">
        <v>1.0</v>
      </c>
    </row>
    <row r="11" ht="22.5" customHeight="1">
      <c r="A11" s="7">
        <v>10.0</v>
      </c>
      <c r="B11" s="7" t="s">
        <v>7</v>
      </c>
      <c r="C11" s="7" t="s">
        <v>137</v>
      </c>
      <c r="D11" s="8" t="s">
        <v>428</v>
      </c>
      <c r="E11" s="8" t="s">
        <v>638</v>
      </c>
      <c r="F11" s="7" t="s">
        <v>457</v>
      </c>
      <c r="G11" s="7" t="s">
        <v>253</v>
      </c>
      <c r="H11" s="7" t="s">
        <v>254</v>
      </c>
      <c r="I11" s="7" t="s">
        <v>244</v>
      </c>
      <c r="J11" s="7"/>
      <c r="K11" s="7" t="s">
        <v>256</v>
      </c>
      <c r="L11" s="7" t="s">
        <v>257</v>
      </c>
      <c r="M11" s="8" t="s">
        <v>37</v>
      </c>
      <c r="N11" s="9"/>
      <c r="O11" s="7" t="s">
        <v>639</v>
      </c>
      <c r="P11" s="7">
        <v>2.0</v>
      </c>
      <c r="Q11" s="7"/>
      <c r="R11" s="7">
        <v>1.0</v>
      </c>
    </row>
    <row r="12" ht="22.5" customHeight="1">
      <c r="A12" s="7">
        <v>11.0</v>
      </c>
      <c r="B12" s="7" t="s">
        <v>7</v>
      </c>
      <c r="C12" s="7" t="s">
        <v>137</v>
      </c>
      <c r="D12" s="8" t="s">
        <v>428</v>
      </c>
      <c r="E12" s="8" t="s">
        <v>640</v>
      </c>
      <c r="F12" s="7" t="s">
        <v>457</v>
      </c>
      <c r="G12" s="7" t="s">
        <v>253</v>
      </c>
      <c r="H12" s="7" t="s">
        <v>254</v>
      </c>
      <c r="I12" s="7" t="s">
        <v>448</v>
      </c>
      <c r="J12" s="36" t="s">
        <v>641</v>
      </c>
      <c r="K12" s="7" t="s">
        <v>256</v>
      </c>
      <c r="L12" s="7" t="s">
        <v>257</v>
      </c>
      <c r="M12" s="8" t="s">
        <v>37</v>
      </c>
      <c r="N12" s="9"/>
      <c r="O12" s="7" t="s">
        <v>642</v>
      </c>
      <c r="P12" s="7">
        <v>2.0</v>
      </c>
      <c r="Q12" s="7"/>
      <c r="R12" s="7">
        <v>1.0</v>
      </c>
    </row>
    <row r="13" ht="22.5" customHeight="1">
      <c r="A13" s="7">
        <v>12.0</v>
      </c>
      <c r="B13" s="7" t="s">
        <v>7</v>
      </c>
      <c r="C13" s="7" t="s">
        <v>137</v>
      </c>
      <c r="D13" s="8" t="s">
        <v>428</v>
      </c>
      <c r="E13" s="8" t="s">
        <v>643</v>
      </c>
      <c r="F13" s="7" t="s">
        <v>457</v>
      </c>
      <c r="G13" s="7" t="s">
        <v>253</v>
      </c>
      <c r="H13" s="7" t="s">
        <v>254</v>
      </c>
      <c r="I13" s="7" t="s">
        <v>264</v>
      </c>
      <c r="J13" s="34" t="s">
        <v>644</v>
      </c>
      <c r="K13" s="7" t="s">
        <v>256</v>
      </c>
      <c r="L13" s="7" t="s">
        <v>257</v>
      </c>
      <c r="M13" s="8" t="s">
        <v>37</v>
      </c>
      <c r="N13" s="9"/>
      <c r="O13" s="7" t="s">
        <v>645</v>
      </c>
      <c r="P13" s="7">
        <v>2.0</v>
      </c>
      <c r="Q13" s="7"/>
      <c r="R13" s="7">
        <v>1.0</v>
      </c>
    </row>
    <row r="14" ht="22.5" customHeight="1">
      <c r="A14" s="7">
        <v>13.0</v>
      </c>
      <c r="B14" s="7" t="s">
        <v>7</v>
      </c>
      <c r="C14" s="7" t="s">
        <v>137</v>
      </c>
      <c r="D14" s="8" t="s">
        <v>428</v>
      </c>
      <c r="E14" s="8" t="s">
        <v>646</v>
      </c>
      <c r="F14" s="7" t="s">
        <v>487</v>
      </c>
      <c r="G14" s="7" t="s">
        <v>253</v>
      </c>
      <c r="H14" s="7" t="s">
        <v>254</v>
      </c>
      <c r="I14" s="7" t="s">
        <v>264</v>
      </c>
      <c r="J14" s="34" t="s">
        <v>647</v>
      </c>
      <c r="K14" s="7" t="s">
        <v>256</v>
      </c>
      <c r="L14" s="7" t="s">
        <v>257</v>
      </c>
      <c r="M14" s="8" t="s">
        <v>37</v>
      </c>
      <c r="N14" s="9"/>
      <c r="O14" s="7" t="s">
        <v>648</v>
      </c>
      <c r="P14" s="7">
        <v>2.0</v>
      </c>
      <c r="Q14" s="7"/>
      <c r="R14" s="7">
        <v>1.0</v>
      </c>
    </row>
    <row r="15" ht="22.5" customHeight="1">
      <c r="A15" s="7">
        <v>14.0</v>
      </c>
      <c r="B15" s="7" t="s">
        <v>7</v>
      </c>
      <c r="C15" s="7" t="s">
        <v>137</v>
      </c>
      <c r="D15" s="8" t="s">
        <v>428</v>
      </c>
      <c r="E15" s="13" t="s">
        <v>649</v>
      </c>
      <c r="F15" s="7" t="s">
        <v>487</v>
      </c>
      <c r="G15" s="7" t="s">
        <v>253</v>
      </c>
      <c r="H15" s="7" t="s">
        <v>254</v>
      </c>
      <c r="I15" s="7" t="s">
        <v>264</v>
      </c>
      <c r="J15" s="34" t="s">
        <v>647</v>
      </c>
      <c r="K15" s="7" t="s">
        <v>256</v>
      </c>
      <c r="L15" s="7" t="s">
        <v>257</v>
      </c>
      <c r="M15" s="8" t="s">
        <v>37</v>
      </c>
      <c r="N15" s="9"/>
      <c r="O15" s="7" t="s">
        <v>650</v>
      </c>
      <c r="P15" s="7">
        <v>2.0</v>
      </c>
      <c r="Q15" s="7"/>
      <c r="R15" s="7">
        <v>1.0</v>
      </c>
    </row>
    <row r="16" ht="22.5" customHeight="1">
      <c r="A16" s="7">
        <v>15.0</v>
      </c>
      <c r="B16" s="7" t="s">
        <v>7</v>
      </c>
      <c r="C16" s="7" t="s">
        <v>651</v>
      </c>
      <c r="D16" s="8" t="s">
        <v>428</v>
      </c>
      <c r="E16" s="12" t="s">
        <v>652</v>
      </c>
      <c r="F16" s="7" t="s">
        <v>487</v>
      </c>
      <c r="G16" s="7" t="s">
        <v>253</v>
      </c>
      <c r="H16" s="7" t="s">
        <v>254</v>
      </c>
      <c r="I16" s="7" t="s">
        <v>264</v>
      </c>
      <c r="J16" s="34" t="s">
        <v>653</v>
      </c>
      <c r="K16" s="7" t="s">
        <v>256</v>
      </c>
      <c r="L16" s="7" t="s">
        <v>257</v>
      </c>
      <c r="M16" s="8" t="s">
        <v>37</v>
      </c>
      <c r="N16" s="9"/>
      <c r="O16" s="7" t="s">
        <v>654</v>
      </c>
      <c r="P16" s="7">
        <v>2.0</v>
      </c>
      <c r="Q16" s="7"/>
      <c r="R16" s="7">
        <v>1.0</v>
      </c>
    </row>
    <row r="17" ht="22.5" customHeight="1">
      <c r="A17" s="7">
        <v>16.0</v>
      </c>
      <c r="B17" s="7" t="s">
        <v>7</v>
      </c>
      <c r="C17" s="7" t="s">
        <v>651</v>
      </c>
      <c r="D17" s="8" t="s">
        <v>428</v>
      </c>
      <c r="E17" s="13" t="s">
        <v>655</v>
      </c>
      <c r="F17" s="7" t="s">
        <v>487</v>
      </c>
      <c r="G17" s="7" t="s">
        <v>253</v>
      </c>
      <c r="H17" s="7" t="s">
        <v>254</v>
      </c>
      <c r="I17" s="7" t="s">
        <v>264</v>
      </c>
      <c r="J17" s="34" t="s">
        <v>653</v>
      </c>
      <c r="K17" s="7" t="s">
        <v>256</v>
      </c>
      <c r="L17" s="7" t="s">
        <v>257</v>
      </c>
      <c r="M17" s="8" t="s">
        <v>37</v>
      </c>
      <c r="N17" s="9"/>
      <c r="O17" s="7" t="s">
        <v>656</v>
      </c>
      <c r="P17" s="7">
        <v>2.0</v>
      </c>
      <c r="Q17" s="7"/>
      <c r="R17" s="7">
        <v>1.0</v>
      </c>
    </row>
    <row r="18" ht="22.5" customHeight="1">
      <c r="A18" s="7">
        <v>17.0</v>
      </c>
      <c r="B18" s="7" t="s">
        <v>7</v>
      </c>
      <c r="C18" s="7" t="s">
        <v>651</v>
      </c>
      <c r="D18" s="8" t="s">
        <v>428</v>
      </c>
      <c r="E18" s="8" t="s">
        <v>657</v>
      </c>
      <c r="F18" s="7" t="s">
        <v>457</v>
      </c>
      <c r="G18" s="7" t="s">
        <v>253</v>
      </c>
      <c r="H18" s="7" t="s">
        <v>254</v>
      </c>
      <c r="I18" s="7" t="s">
        <v>264</v>
      </c>
      <c r="J18" s="34" t="s">
        <v>653</v>
      </c>
      <c r="K18" s="7" t="s">
        <v>256</v>
      </c>
      <c r="L18" s="7" t="s">
        <v>257</v>
      </c>
      <c r="M18" s="8" t="s">
        <v>37</v>
      </c>
      <c r="N18" s="9"/>
      <c r="O18" s="7" t="s">
        <v>658</v>
      </c>
      <c r="P18" s="7">
        <v>2.0</v>
      </c>
      <c r="Q18" s="7"/>
      <c r="R18" s="7">
        <v>1.0</v>
      </c>
    </row>
    <row r="19" ht="22.5" customHeight="1">
      <c r="A19" s="7">
        <v>18.0</v>
      </c>
      <c r="B19" s="7" t="s">
        <v>7</v>
      </c>
      <c r="C19" s="7" t="s">
        <v>651</v>
      </c>
      <c r="D19" s="8" t="s">
        <v>428</v>
      </c>
      <c r="E19" s="8" t="s">
        <v>659</v>
      </c>
      <c r="F19" s="7" t="s">
        <v>487</v>
      </c>
      <c r="G19" s="7" t="s">
        <v>253</v>
      </c>
      <c r="H19" s="7" t="s">
        <v>254</v>
      </c>
      <c r="I19" s="7" t="s">
        <v>264</v>
      </c>
      <c r="J19" s="34" t="s">
        <v>653</v>
      </c>
      <c r="K19" s="7" t="s">
        <v>256</v>
      </c>
      <c r="L19" s="7" t="s">
        <v>257</v>
      </c>
      <c r="M19" s="8" t="s">
        <v>37</v>
      </c>
      <c r="N19" s="9"/>
      <c r="O19" s="7" t="s">
        <v>660</v>
      </c>
      <c r="P19" s="7">
        <v>2.0</v>
      </c>
      <c r="Q19" s="7"/>
      <c r="R19" s="7">
        <v>1.0</v>
      </c>
    </row>
    <row r="20" ht="22.5" customHeight="1">
      <c r="A20" s="7">
        <v>19.0</v>
      </c>
      <c r="B20" s="7" t="s">
        <v>7</v>
      </c>
      <c r="C20" s="7" t="s">
        <v>651</v>
      </c>
      <c r="D20" s="8" t="s">
        <v>428</v>
      </c>
      <c r="E20" s="8" t="s">
        <v>661</v>
      </c>
      <c r="F20" s="7" t="s">
        <v>487</v>
      </c>
      <c r="G20" s="7" t="s">
        <v>253</v>
      </c>
      <c r="H20" s="7" t="s">
        <v>254</v>
      </c>
      <c r="I20" s="7" t="s">
        <v>264</v>
      </c>
      <c r="J20" s="34" t="s">
        <v>653</v>
      </c>
      <c r="K20" s="7" t="s">
        <v>256</v>
      </c>
      <c r="L20" s="7" t="s">
        <v>257</v>
      </c>
      <c r="M20" s="8" t="s">
        <v>37</v>
      </c>
      <c r="N20" s="9"/>
      <c r="O20" s="7" t="s">
        <v>662</v>
      </c>
      <c r="P20" s="7">
        <v>2.0</v>
      </c>
      <c r="Q20" s="7"/>
      <c r="R20" s="7">
        <v>1.0</v>
      </c>
    </row>
    <row r="21" ht="22.5" customHeight="1">
      <c r="A21" s="7">
        <v>20.0</v>
      </c>
      <c r="B21" s="7" t="s">
        <v>7</v>
      </c>
      <c r="C21" s="7" t="s">
        <v>651</v>
      </c>
      <c r="D21" s="8" t="s">
        <v>428</v>
      </c>
      <c r="E21" s="8" t="s">
        <v>663</v>
      </c>
      <c r="F21" s="7" t="s">
        <v>487</v>
      </c>
      <c r="G21" s="7" t="s">
        <v>253</v>
      </c>
      <c r="H21" s="7" t="s">
        <v>254</v>
      </c>
      <c r="I21" s="7" t="s">
        <v>264</v>
      </c>
      <c r="J21" s="34" t="s">
        <v>653</v>
      </c>
      <c r="K21" s="7" t="s">
        <v>256</v>
      </c>
      <c r="L21" s="7" t="s">
        <v>257</v>
      </c>
      <c r="M21" s="8" t="s">
        <v>37</v>
      </c>
      <c r="N21" s="9"/>
      <c r="O21" s="7" t="s">
        <v>664</v>
      </c>
      <c r="P21" s="7">
        <v>2.0</v>
      </c>
      <c r="Q21" s="7"/>
      <c r="R21" s="7">
        <v>1.0</v>
      </c>
    </row>
    <row r="22" ht="22.5" customHeight="1">
      <c r="A22" s="7">
        <v>21.0</v>
      </c>
      <c r="B22" s="7" t="s">
        <v>7</v>
      </c>
      <c r="C22" s="7" t="s">
        <v>651</v>
      </c>
      <c r="D22" s="8" t="s">
        <v>428</v>
      </c>
      <c r="E22" s="8" t="s">
        <v>665</v>
      </c>
      <c r="F22" s="7" t="s">
        <v>457</v>
      </c>
      <c r="G22" s="7" t="s">
        <v>253</v>
      </c>
      <c r="H22" s="7" t="s">
        <v>254</v>
      </c>
      <c r="I22" s="7" t="s">
        <v>264</v>
      </c>
      <c r="J22" s="34" t="s">
        <v>653</v>
      </c>
      <c r="K22" s="7" t="s">
        <v>256</v>
      </c>
      <c r="L22" s="7" t="s">
        <v>257</v>
      </c>
      <c r="M22" s="8" t="s">
        <v>37</v>
      </c>
      <c r="N22" s="9"/>
      <c r="O22" s="7" t="s">
        <v>666</v>
      </c>
      <c r="P22" s="7">
        <v>2.0</v>
      </c>
      <c r="Q22" s="7"/>
      <c r="R22" s="7">
        <v>1.0</v>
      </c>
    </row>
    <row r="23" ht="22.5" customHeight="1">
      <c r="A23" s="7">
        <v>22.0</v>
      </c>
      <c r="B23" s="7" t="s">
        <v>7</v>
      </c>
      <c r="C23" s="7" t="s">
        <v>651</v>
      </c>
      <c r="D23" s="8" t="s">
        <v>428</v>
      </c>
      <c r="E23" s="8" t="s">
        <v>667</v>
      </c>
      <c r="F23" s="7" t="s">
        <v>487</v>
      </c>
      <c r="G23" s="7" t="s">
        <v>253</v>
      </c>
      <c r="H23" s="7" t="s">
        <v>254</v>
      </c>
      <c r="I23" s="7" t="s">
        <v>264</v>
      </c>
      <c r="J23" s="34" t="s">
        <v>653</v>
      </c>
      <c r="K23" s="7" t="s">
        <v>256</v>
      </c>
      <c r="L23" s="7" t="s">
        <v>257</v>
      </c>
      <c r="M23" s="8" t="s">
        <v>37</v>
      </c>
      <c r="N23" s="9"/>
      <c r="O23" s="7" t="s">
        <v>668</v>
      </c>
      <c r="P23" s="7">
        <v>2.0</v>
      </c>
      <c r="Q23" s="7"/>
      <c r="R23" s="7">
        <v>1.0</v>
      </c>
    </row>
    <row r="24" ht="22.5" customHeight="1">
      <c r="A24" s="7">
        <v>23.0</v>
      </c>
      <c r="B24" s="7" t="s">
        <v>7</v>
      </c>
      <c r="C24" s="7" t="s">
        <v>651</v>
      </c>
      <c r="D24" s="8" t="s">
        <v>428</v>
      </c>
      <c r="E24" s="8" t="s">
        <v>669</v>
      </c>
      <c r="F24" s="7" t="s">
        <v>487</v>
      </c>
      <c r="G24" s="7" t="s">
        <v>253</v>
      </c>
      <c r="H24" s="7" t="s">
        <v>254</v>
      </c>
      <c r="I24" s="7" t="s">
        <v>264</v>
      </c>
      <c r="J24" s="34" t="s">
        <v>653</v>
      </c>
      <c r="K24" s="7" t="s">
        <v>256</v>
      </c>
      <c r="L24" s="7" t="s">
        <v>257</v>
      </c>
      <c r="M24" s="8" t="s">
        <v>37</v>
      </c>
      <c r="N24" s="9"/>
      <c r="O24" s="7" t="s">
        <v>670</v>
      </c>
      <c r="P24" s="7">
        <v>2.0</v>
      </c>
      <c r="Q24" s="7"/>
      <c r="R24" s="7">
        <v>1.0</v>
      </c>
    </row>
    <row r="25" ht="22.5" customHeight="1">
      <c r="A25" s="7">
        <v>24.0</v>
      </c>
      <c r="B25" s="7" t="s">
        <v>7</v>
      </c>
      <c r="C25" s="7" t="s">
        <v>651</v>
      </c>
      <c r="D25" s="8" t="s">
        <v>428</v>
      </c>
      <c r="E25" s="8" t="s">
        <v>671</v>
      </c>
      <c r="F25" s="7" t="s">
        <v>487</v>
      </c>
      <c r="G25" s="7" t="s">
        <v>253</v>
      </c>
      <c r="H25" s="7" t="s">
        <v>254</v>
      </c>
      <c r="I25" s="7" t="s">
        <v>264</v>
      </c>
      <c r="J25" s="34" t="s">
        <v>653</v>
      </c>
      <c r="K25" s="7" t="s">
        <v>256</v>
      </c>
      <c r="L25" s="7" t="s">
        <v>257</v>
      </c>
      <c r="M25" s="8" t="s">
        <v>37</v>
      </c>
      <c r="N25" s="9"/>
      <c r="O25" s="7" t="s">
        <v>672</v>
      </c>
      <c r="P25" s="7">
        <v>2.0</v>
      </c>
      <c r="Q25" s="7"/>
      <c r="R25" s="7">
        <v>1.0</v>
      </c>
    </row>
    <row r="26" ht="22.5" customHeight="1">
      <c r="A26" s="7">
        <v>25.0</v>
      </c>
      <c r="B26" s="7" t="s">
        <v>7</v>
      </c>
      <c r="C26" s="7" t="s">
        <v>651</v>
      </c>
      <c r="D26" s="8" t="s">
        <v>428</v>
      </c>
      <c r="E26" s="8" t="s">
        <v>673</v>
      </c>
      <c r="F26" s="7" t="s">
        <v>487</v>
      </c>
      <c r="G26" s="7" t="s">
        <v>253</v>
      </c>
      <c r="H26" s="7" t="s">
        <v>254</v>
      </c>
      <c r="I26" s="7" t="s">
        <v>264</v>
      </c>
      <c r="J26" s="34" t="s">
        <v>653</v>
      </c>
      <c r="K26" s="7" t="s">
        <v>256</v>
      </c>
      <c r="L26" s="7" t="s">
        <v>257</v>
      </c>
      <c r="M26" s="8" t="s">
        <v>37</v>
      </c>
      <c r="N26" s="9"/>
      <c r="O26" s="7" t="s">
        <v>674</v>
      </c>
      <c r="P26" s="7">
        <v>2.0</v>
      </c>
      <c r="Q26" s="7"/>
      <c r="R26" s="7">
        <v>1.0</v>
      </c>
    </row>
    <row r="27" ht="22.5" customHeight="1">
      <c r="A27" s="7">
        <v>26.0</v>
      </c>
      <c r="B27" s="7" t="s">
        <v>7</v>
      </c>
      <c r="C27" s="7" t="s">
        <v>651</v>
      </c>
      <c r="D27" s="8" t="s">
        <v>428</v>
      </c>
      <c r="E27" s="8" t="s">
        <v>675</v>
      </c>
      <c r="F27" s="7" t="s">
        <v>487</v>
      </c>
      <c r="G27" s="7" t="s">
        <v>253</v>
      </c>
      <c r="H27" s="7" t="s">
        <v>254</v>
      </c>
      <c r="I27" s="7" t="s">
        <v>264</v>
      </c>
      <c r="J27" s="34" t="s">
        <v>653</v>
      </c>
      <c r="K27" s="7" t="s">
        <v>256</v>
      </c>
      <c r="L27" s="7" t="s">
        <v>257</v>
      </c>
      <c r="M27" s="8" t="s">
        <v>37</v>
      </c>
      <c r="N27" s="9"/>
      <c r="O27" s="7" t="s">
        <v>676</v>
      </c>
      <c r="P27" s="7">
        <v>2.0</v>
      </c>
      <c r="Q27" s="7"/>
      <c r="R27" s="7">
        <v>1.0</v>
      </c>
    </row>
    <row r="28" ht="22.5" customHeight="1">
      <c r="A28" s="7">
        <v>27.0</v>
      </c>
      <c r="B28" s="7" t="s">
        <v>7</v>
      </c>
      <c r="C28" s="7" t="s">
        <v>651</v>
      </c>
      <c r="D28" s="8" t="s">
        <v>428</v>
      </c>
      <c r="E28" s="8" t="s">
        <v>677</v>
      </c>
      <c r="F28" s="7" t="s">
        <v>487</v>
      </c>
      <c r="G28" s="7" t="s">
        <v>253</v>
      </c>
      <c r="H28" s="7" t="s">
        <v>254</v>
      </c>
      <c r="I28" s="7" t="s">
        <v>264</v>
      </c>
      <c r="J28" s="34" t="s">
        <v>653</v>
      </c>
      <c r="K28" s="7" t="s">
        <v>256</v>
      </c>
      <c r="L28" s="7" t="s">
        <v>257</v>
      </c>
      <c r="M28" s="8" t="s">
        <v>37</v>
      </c>
      <c r="N28" s="9"/>
      <c r="O28" s="7" t="s">
        <v>678</v>
      </c>
      <c r="P28" s="7">
        <v>2.0</v>
      </c>
      <c r="Q28" s="7"/>
      <c r="R28" s="7">
        <v>1.0</v>
      </c>
    </row>
    <row r="29" ht="22.5" customHeight="1">
      <c r="A29" s="7">
        <v>28.0</v>
      </c>
      <c r="B29" s="7" t="s">
        <v>7</v>
      </c>
      <c r="C29" s="7" t="s">
        <v>651</v>
      </c>
      <c r="D29" s="8" t="s">
        <v>428</v>
      </c>
      <c r="E29" s="8" t="s">
        <v>679</v>
      </c>
      <c r="F29" s="7" t="s">
        <v>487</v>
      </c>
      <c r="G29" s="7" t="s">
        <v>253</v>
      </c>
      <c r="H29" s="7" t="s">
        <v>254</v>
      </c>
      <c r="I29" s="7" t="s">
        <v>264</v>
      </c>
      <c r="J29" s="34" t="s">
        <v>653</v>
      </c>
      <c r="K29" s="7" t="s">
        <v>256</v>
      </c>
      <c r="L29" s="7" t="s">
        <v>257</v>
      </c>
      <c r="M29" s="8" t="s">
        <v>37</v>
      </c>
      <c r="N29" s="9"/>
      <c r="O29" s="7" t="s">
        <v>680</v>
      </c>
      <c r="P29" s="7">
        <v>2.0</v>
      </c>
      <c r="Q29" s="7"/>
      <c r="R29" s="7">
        <v>1.0</v>
      </c>
    </row>
    <row r="30" ht="22.5" customHeight="1">
      <c r="A30" s="7">
        <v>29.0</v>
      </c>
      <c r="B30" s="7" t="s">
        <v>7</v>
      </c>
      <c r="C30" s="7" t="s">
        <v>681</v>
      </c>
      <c r="D30" s="8" t="s">
        <v>4</v>
      </c>
      <c r="E30" s="8" t="s">
        <v>682</v>
      </c>
      <c r="F30" s="7" t="s">
        <v>37</v>
      </c>
      <c r="G30" s="7" t="s">
        <v>236</v>
      </c>
      <c r="H30" s="7" t="s">
        <v>236</v>
      </c>
      <c r="I30" s="7" t="s">
        <v>683</v>
      </c>
      <c r="J30" s="8"/>
      <c r="K30" s="7" t="s">
        <v>276</v>
      </c>
      <c r="L30" s="7" t="s">
        <v>24</v>
      </c>
      <c r="M30" s="8" t="s">
        <v>684</v>
      </c>
      <c r="N30" s="9"/>
      <c r="O30" s="7" t="s">
        <v>685</v>
      </c>
      <c r="P30" s="7">
        <v>1.0</v>
      </c>
      <c r="Q30" s="7"/>
      <c r="R30" s="7">
        <v>1.0</v>
      </c>
    </row>
    <row r="31" ht="22.5" customHeight="1">
      <c r="A31" s="7">
        <v>30.0</v>
      </c>
      <c r="B31" s="7" t="s">
        <v>7</v>
      </c>
      <c r="C31" s="7" t="s">
        <v>681</v>
      </c>
      <c r="D31" s="8" t="s">
        <v>4</v>
      </c>
      <c r="E31" s="8" t="s">
        <v>686</v>
      </c>
      <c r="F31" s="7" t="s">
        <v>37</v>
      </c>
      <c r="G31" s="7" t="s">
        <v>236</v>
      </c>
      <c r="H31" s="7" t="s">
        <v>236</v>
      </c>
      <c r="I31" s="7" t="s">
        <v>683</v>
      </c>
      <c r="J31" s="8"/>
      <c r="K31" s="7" t="s">
        <v>276</v>
      </c>
      <c r="L31" s="7" t="s">
        <v>24</v>
      </c>
      <c r="M31" s="8" t="s">
        <v>684</v>
      </c>
      <c r="N31" s="9"/>
      <c r="O31" s="7" t="s">
        <v>687</v>
      </c>
      <c r="P31" s="7">
        <v>1.0</v>
      </c>
      <c r="Q31" s="7"/>
      <c r="R31" s="7">
        <v>1.0</v>
      </c>
    </row>
    <row r="32" ht="22.5" customHeight="1">
      <c r="A32" s="7">
        <v>31.0</v>
      </c>
      <c r="B32" s="7" t="s">
        <v>7</v>
      </c>
      <c r="C32" s="7" t="s">
        <v>688</v>
      </c>
      <c r="D32" s="8" t="s">
        <v>234</v>
      </c>
      <c r="E32" s="8" t="s">
        <v>689</v>
      </c>
      <c r="F32" s="7" t="s">
        <v>37</v>
      </c>
      <c r="G32" s="7"/>
      <c r="H32" s="7"/>
      <c r="I32" s="7" t="s">
        <v>683</v>
      </c>
      <c r="J32" s="8"/>
      <c r="K32" s="7" t="s">
        <v>276</v>
      </c>
      <c r="L32" s="7" t="s">
        <v>24</v>
      </c>
      <c r="M32" s="8" t="s">
        <v>690</v>
      </c>
      <c r="N32" s="9"/>
      <c r="O32" s="7" t="s">
        <v>691</v>
      </c>
      <c r="P32" s="7">
        <v>2.0</v>
      </c>
      <c r="Q32" s="7" t="s">
        <v>240</v>
      </c>
      <c r="R32" s="7">
        <v>1.0</v>
      </c>
    </row>
    <row r="33" ht="22.5" customHeight="1">
      <c r="A33" s="7">
        <v>32.0</v>
      </c>
      <c r="B33" s="7" t="s">
        <v>7</v>
      </c>
      <c r="C33" s="7" t="s">
        <v>688</v>
      </c>
      <c r="D33" s="8" t="s">
        <v>234</v>
      </c>
      <c r="E33" s="8" t="s">
        <v>692</v>
      </c>
      <c r="F33" s="7" t="s">
        <v>37</v>
      </c>
      <c r="G33" s="7"/>
      <c r="H33" s="7"/>
      <c r="I33" s="7" t="s">
        <v>683</v>
      </c>
      <c r="J33" s="8"/>
      <c r="K33" s="7" t="s">
        <v>276</v>
      </c>
      <c r="L33" s="7" t="s">
        <v>24</v>
      </c>
      <c r="M33" s="8" t="s">
        <v>690</v>
      </c>
      <c r="N33" s="9"/>
      <c r="O33" s="7" t="s">
        <v>693</v>
      </c>
      <c r="P33" s="7">
        <v>2.0</v>
      </c>
      <c r="Q33" s="7" t="s">
        <v>240</v>
      </c>
      <c r="R33" s="7">
        <v>1.0</v>
      </c>
    </row>
    <row r="34" ht="22.5" customHeight="1">
      <c r="A34" s="7">
        <v>33.0</v>
      </c>
      <c r="B34" s="7" t="s">
        <v>7</v>
      </c>
      <c r="C34" s="7" t="s">
        <v>688</v>
      </c>
      <c r="D34" s="8" t="s">
        <v>428</v>
      </c>
      <c r="E34" s="8" t="s">
        <v>694</v>
      </c>
      <c r="F34" s="7" t="s">
        <v>599</v>
      </c>
      <c r="G34" s="7" t="s">
        <v>253</v>
      </c>
      <c r="H34" s="7" t="s">
        <v>254</v>
      </c>
      <c r="I34" s="7" t="s">
        <v>695</v>
      </c>
      <c r="J34" s="8" t="s">
        <v>696</v>
      </c>
      <c r="K34" s="7" t="s">
        <v>256</v>
      </c>
      <c r="L34" s="7" t="s">
        <v>257</v>
      </c>
      <c r="M34" s="8" t="s">
        <v>37</v>
      </c>
      <c r="N34" s="9"/>
      <c r="O34" s="7" t="s">
        <v>697</v>
      </c>
      <c r="P34" s="7">
        <v>2.0</v>
      </c>
      <c r="Q34" s="7"/>
      <c r="R34" s="7">
        <v>1.0</v>
      </c>
    </row>
    <row r="35" ht="22.5" customHeight="1">
      <c r="A35" s="7">
        <v>34.0</v>
      </c>
      <c r="B35" s="7" t="s">
        <v>7</v>
      </c>
      <c r="C35" s="7" t="s">
        <v>281</v>
      </c>
      <c r="D35" s="8" t="s">
        <v>428</v>
      </c>
      <c r="E35" s="8" t="s">
        <v>698</v>
      </c>
      <c r="F35" s="7" t="s">
        <v>457</v>
      </c>
      <c r="G35" s="7" t="s">
        <v>253</v>
      </c>
      <c r="H35" s="7" t="s">
        <v>254</v>
      </c>
      <c r="I35" s="7" t="s">
        <v>695</v>
      </c>
      <c r="J35" s="8"/>
      <c r="K35" s="7" t="s">
        <v>256</v>
      </c>
      <c r="L35" s="7" t="s">
        <v>257</v>
      </c>
      <c r="M35" s="8" t="s">
        <v>37</v>
      </c>
      <c r="N35" s="9"/>
      <c r="O35" s="7" t="s">
        <v>699</v>
      </c>
      <c r="P35" s="7">
        <v>2.0</v>
      </c>
      <c r="Q35" s="7"/>
      <c r="R35" s="7">
        <v>1.0</v>
      </c>
    </row>
    <row r="36" ht="22.5" customHeight="1">
      <c r="A36" s="7">
        <v>35.0</v>
      </c>
      <c r="B36" s="7" t="s">
        <v>7</v>
      </c>
      <c r="C36" s="7" t="s">
        <v>281</v>
      </c>
      <c r="D36" s="8" t="s">
        <v>4</v>
      </c>
      <c r="E36" s="8" t="s">
        <v>700</v>
      </c>
      <c r="F36" s="7"/>
      <c r="G36" s="7" t="s">
        <v>236</v>
      </c>
      <c r="H36" s="7" t="s">
        <v>236</v>
      </c>
      <c r="I36" s="7" t="s">
        <v>683</v>
      </c>
      <c r="J36" s="8"/>
      <c r="K36" s="7" t="s">
        <v>276</v>
      </c>
      <c r="L36" s="7" t="s">
        <v>24</v>
      </c>
      <c r="M36" s="8" t="s">
        <v>684</v>
      </c>
      <c r="N36" s="9"/>
      <c r="O36" s="7" t="s">
        <v>701</v>
      </c>
      <c r="P36" s="7">
        <v>1.0</v>
      </c>
      <c r="Q36" s="7"/>
      <c r="R36" s="7">
        <v>1.0</v>
      </c>
    </row>
    <row r="37" ht="22.5" customHeight="1">
      <c r="A37" s="7">
        <v>36.0</v>
      </c>
      <c r="B37" s="7" t="s">
        <v>7</v>
      </c>
      <c r="C37" s="7" t="s">
        <v>702</v>
      </c>
      <c r="D37" s="8" t="s">
        <v>242</v>
      </c>
      <c r="E37" s="8" t="s">
        <v>703</v>
      </c>
      <c r="F37" s="7" t="s">
        <v>37</v>
      </c>
      <c r="G37" s="7" t="s">
        <v>236</v>
      </c>
      <c r="H37" s="7" t="s">
        <v>236</v>
      </c>
      <c r="I37" s="7" t="s">
        <v>683</v>
      </c>
      <c r="J37" s="8"/>
      <c r="K37" s="7" t="s">
        <v>276</v>
      </c>
      <c r="L37" s="7" t="s">
        <v>24</v>
      </c>
      <c r="M37" s="8" t="s">
        <v>704</v>
      </c>
      <c r="N37" s="9"/>
      <c r="O37" s="7" t="s">
        <v>705</v>
      </c>
      <c r="P37" s="7">
        <v>2.0</v>
      </c>
      <c r="Q37" s="7"/>
      <c r="R37" s="7">
        <v>1.0</v>
      </c>
    </row>
    <row r="38" ht="22.5" customHeight="1">
      <c r="A38" s="7">
        <v>37.0</v>
      </c>
      <c r="B38" s="7" t="s">
        <v>7</v>
      </c>
      <c r="C38" s="7" t="s">
        <v>706</v>
      </c>
      <c r="D38" s="8" t="s">
        <v>242</v>
      </c>
      <c r="E38" s="8" t="s">
        <v>707</v>
      </c>
      <c r="F38" s="7" t="s">
        <v>37</v>
      </c>
      <c r="G38" s="7" t="s">
        <v>236</v>
      </c>
      <c r="H38" s="7" t="s">
        <v>236</v>
      </c>
      <c r="I38" s="7" t="s">
        <v>683</v>
      </c>
      <c r="J38" s="8"/>
      <c r="K38" s="7" t="s">
        <v>276</v>
      </c>
      <c r="L38" s="7" t="s">
        <v>24</v>
      </c>
      <c r="M38" s="8" t="s">
        <v>684</v>
      </c>
      <c r="N38" s="9"/>
      <c r="O38" s="7" t="s">
        <v>708</v>
      </c>
      <c r="P38" s="7">
        <v>1.0</v>
      </c>
      <c r="Q38" s="7"/>
      <c r="R38" s="7">
        <v>1.0</v>
      </c>
    </row>
    <row r="39" ht="22.5" customHeight="1">
      <c r="A39" s="7"/>
      <c r="B39" s="7"/>
      <c r="C39" s="7"/>
      <c r="D39" s="8"/>
      <c r="E39" s="8"/>
      <c r="F39" s="7"/>
      <c r="G39" s="7"/>
      <c r="H39" s="7"/>
      <c r="I39" s="7"/>
      <c r="J39" s="8"/>
      <c r="K39" s="7"/>
      <c r="L39" s="7"/>
      <c r="M39" s="8"/>
      <c r="N39" s="9"/>
      <c r="O39" s="7"/>
      <c r="P39" s="32">
        <f>SUM(P2:P38)</f>
        <v>79</v>
      </c>
      <c r="Q39" s="7"/>
      <c r="R39" s="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64.63"/>
    <col customWidth="1" min="3" max="6" width="12.63"/>
  </cols>
  <sheetData>
    <row r="1" ht="15.75" customHeight="1"/>
    <row r="2" ht="15.75" customHeight="1"/>
    <row r="3" ht="22.5" customHeight="1">
      <c r="B3" s="5" t="s">
        <v>709</v>
      </c>
      <c r="C3" s="5" t="s">
        <v>710</v>
      </c>
    </row>
    <row r="4" ht="22.5" customHeight="1">
      <c r="B4" s="7" t="s">
        <v>711</v>
      </c>
      <c r="C4" s="7" t="s">
        <v>712</v>
      </c>
    </row>
    <row r="5" ht="22.5" customHeight="1">
      <c r="B5" s="7" t="s">
        <v>713</v>
      </c>
      <c r="C5" s="7" t="s">
        <v>714</v>
      </c>
    </row>
    <row r="6" ht="22.5" customHeight="1">
      <c r="B6" s="7" t="s">
        <v>715</v>
      </c>
      <c r="C6" s="7" t="s">
        <v>716</v>
      </c>
    </row>
    <row r="7" ht="22.5" customHeight="1">
      <c r="B7" s="7" t="s">
        <v>244</v>
      </c>
      <c r="C7" s="7" t="s">
        <v>717</v>
      </c>
    </row>
    <row r="8" ht="22.5" customHeight="1">
      <c r="B8" s="7" t="s">
        <v>718</v>
      </c>
      <c r="C8" s="7" t="s">
        <v>719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3" width="36.38"/>
    <col customWidth="1" min="4" max="4" width="37.25"/>
    <col customWidth="1" min="5" max="6" width="12.63"/>
  </cols>
  <sheetData>
    <row r="1" ht="22.5" customHeight="1">
      <c r="B1" s="5" t="s">
        <v>6</v>
      </c>
      <c r="C1" s="5" t="s">
        <v>8</v>
      </c>
      <c r="D1" s="5" t="s">
        <v>7</v>
      </c>
    </row>
    <row r="2" ht="22.5" customHeight="1">
      <c r="B2" s="7" t="s">
        <v>43</v>
      </c>
      <c r="C2" s="7" t="s">
        <v>118</v>
      </c>
      <c r="D2" s="7" t="s">
        <v>720</v>
      </c>
    </row>
    <row r="3" ht="22.5" customHeight="1">
      <c r="B3" s="7" t="s">
        <v>71</v>
      </c>
      <c r="C3" s="7" t="s">
        <v>135</v>
      </c>
      <c r="D3" s="7" t="s">
        <v>721</v>
      </c>
    </row>
    <row r="4" ht="22.5" customHeight="1">
      <c r="B4" s="7" t="s">
        <v>52</v>
      </c>
      <c r="C4" s="7" t="s">
        <v>121</v>
      </c>
      <c r="D4" s="7" t="s">
        <v>722</v>
      </c>
    </row>
    <row r="5" ht="22.5" customHeight="1">
      <c r="B5" s="7" t="s">
        <v>62</v>
      </c>
      <c r="C5" s="7" t="s">
        <v>92</v>
      </c>
      <c r="D5" s="7" t="s">
        <v>723</v>
      </c>
    </row>
    <row r="6" ht="22.5" customHeight="1">
      <c r="B6" s="7" t="s">
        <v>21</v>
      </c>
      <c r="C6" s="7" t="s">
        <v>724</v>
      </c>
      <c r="D6" s="7" t="s">
        <v>725</v>
      </c>
    </row>
    <row r="7" ht="22.5" customHeight="1">
      <c r="B7" s="7" t="s">
        <v>726</v>
      </c>
      <c r="C7" s="7" t="s">
        <v>140</v>
      </c>
      <c r="D7" s="7" t="s">
        <v>727</v>
      </c>
    </row>
    <row r="8" ht="22.5" customHeight="1">
      <c r="B8" s="7" t="s">
        <v>728</v>
      </c>
      <c r="C8" s="7" t="s">
        <v>127</v>
      </c>
      <c r="D8" s="7" t="s">
        <v>729</v>
      </c>
    </row>
    <row r="9" ht="22.5" customHeight="1">
      <c r="B9" s="7" t="s">
        <v>730</v>
      </c>
      <c r="C9" s="9"/>
      <c r="D9" s="9"/>
    </row>
    <row r="10" ht="22.5" customHeight="1">
      <c r="B10" s="7" t="s">
        <v>731</v>
      </c>
      <c r="C10" s="9"/>
      <c r="D10" s="9"/>
    </row>
    <row r="11" ht="22.5" customHeight="1">
      <c r="B11" s="7" t="s">
        <v>732</v>
      </c>
      <c r="C11" s="9"/>
      <c r="D11" s="9"/>
    </row>
    <row r="12" ht="22.5" customHeight="1">
      <c r="B12" s="9"/>
      <c r="C12" s="9"/>
      <c r="D12" s="9"/>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81.38"/>
    <col customWidth="1" min="3" max="3" width="29.25"/>
    <col customWidth="1" min="4" max="6" width="12.63"/>
  </cols>
  <sheetData>
    <row r="1" ht="15.75" customHeight="1"/>
    <row r="2" ht="15.75" customHeight="1">
      <c r="A2" s="3" t="s">
        <v>4</v>
      </c>
      <c r="B2" s="52" t="s">
        <v>682</v>
      </c>
    </row>
    <row r="3" ht="15.75" customHeight="1">
      <c r="A3" s="3" t="s">
        <v>4</v>
      </c>
      <c r="B3" s="53" t="s">
        <v>686</v>
      </c>
    </row>
    <row r="4" ht="15.75" customHeight="1">
      <c r="B4" s="54" t="s">
        <v>733</v>
      </c>
    </row>
    <row r="5" ht="15.75" customHeight="1">
      <c r="A5" s="3" t="s">
        <v>242</v>
      </c>
      <c r="B5" s="53" t="s">
        <v>734</v>
      </c>
    </row>
    <row r="6" ht="15.75" customHeight="1">
      <c r="A6" s="3" t="s">
        <v>250</v>
      </c>
      <c r="B6" s="52" t="s">
        <v>735</v>
      </c>
      <c r="C6" s="38" t="s">
        <v>736</v>
      </c>
    </row>
    <row r="7" ht="15.75" customHeight="1">
      <c r="B7" s="54" t="s">
        <v>737</v>
      </c>
    </row>
    <row r="8" ht="15.75" customHeight="1">
      <c r="A8" s="3" t="s">
        <v>234</v>
      </c>
      <c r="B8" s="53" t="s">
        <v>738</v>
      </c>
    </row>
    <row r="9" ht="15.75" customHeight="1">
      <c r="B9" s="54" t="s">
        <v>739</v>
      </c>
      <c r="C9" s="3" t="s">
        <v>740</v>
      </c>
    </row>
    <row r="10" ht="15.75" customHeight="1">
      <c r="B10" s="54" t="s">
        <v>741</v>
      </c>
    </row>
    <row r="11" ht="15.75" customHeight="1">
      <c r="B11" s="54" t="s">
        <v>742</v>
      </c>
    </row>
    <row r="12" ht="15.75" customHeight="1">
      <c r="B12" s="54" t="s">
        <v>743</v>
      </c>
    </row>
    <row r="13" ht="15.75" customHeight="1">
      <c r="B13" s="54" t="s">
        <v>744</v>
      </c>
    </row>
    <row r="14" ht="15.75" customHeight="1">
      <c r="B14" s="54" t="s">
        <v>745</v>
      </c>
    </row>
    <row r="15" ht="15.75" customHeight="1">
      <c r="B15" s="55" t="s">
        <v>746</v>
      </c>
    </row>
    <row r="16" ht="15.75" customHeight="1">
      <c r="B16" s="54" t="s">
        <v>747</v>
      </c>
    </row>
    <row r="17" ht="15.75" customHeight="1">
      <c r="B17" s="54" t="s">
        <v>748</v>
      </c>
    </row>
    <row r="18" ht="15.75" customHeight="1">
      <c r="B18" s="54" t="s">
        <v>749</v>
      </c>
    </row>
    <row r="19" ht="15.75" customHeight="1">
      <c r="B19" s="52" t="s">
        <v>750</v>
      </c>
      <c r="C19" s="3" t="s">
        <v>751</v>
      </c>
    </row>
    <row r="20" ht="15.75" customHeight="1">
      <c r="A20" s="3" t="s">
        <v>242</v>
      </c>
      <c r="B20" s="52" t="s">
        <v>752</v>
      </c>
    </row>
    <row r="21" ht="15.75" customHeight="1">
      <c r="B21" s="56" t="s">
        <v>753</v>
      </c>
    </row>
    <row r="22" ht="15.75" customHeight="1">
      <c r="B22" s="56" t="s">
        <v>754</v>
      </c>
    </row>
    <row r="23" ht="15.75" customHeight="1">
      <c r="B23" s="56" t="s">
        <v>755</v>
      </c>
    </row>
    <row r="24" ht="15.75" customHeight="1">
      <c r="B24" s="56" t="s">
        <v>756</v>
      </c>
    </row>
    <row r="25" ht="15.75" customHeight="1">
      <c r="B25" s="54" t="s">
        <v>757</v>
      </c>
    </row>
    <row r="26" ht="15.75" customHeight="1">
      <c r="A26" s="3" t="s">
        <v>242</v>
      </c>
      <c r="B26" s="53" t="s">
        <v>707</v>
      </c>
    </row>
    <row r="27" ht="15.75" customHeight="1">
      <c r="B27" s="54" t="s">
        <v>758</v>
      </c>
    </row>
    <row r="28" ht="15.75" customHeight="1">
      <c r="B28" s="55" t="s">
        <v>759</v>
      </c>
    </row>
    <row r="29" ht="15.75" customHeight="1">
      <c r="B29" s="55" t="s">
        <v>760</v>
      </c>
      <c r="C29" s="3" t="s">
        <v>761</v>
      </c>
    </row>
    <row r="30" ht="15.75" customHeight="1">
      <c r="B30" s="55" t="s">
        <v>762</v>
      </c>
      <c r="C30" s="3" t="s">
        <v>761</v>
      </c>
    </row>
    <row r="31" ht="15.75" customHeight="1">
      <c r="B31" s="54" t="s">
        <v>763</v>
      </c>
      <c r="C31" s="3" t="s">
        <v>761</v>
      </c>
    </row>
    <row r="32" ht="15.75" customHeight="1">
      <c r="B32" s="54" t="s">
        <v>764</v>
      </c>
      <c r="C32" s="3" t="s">
        <v>761</v>
      </c>
    </row>
    <row r="33" ht="15.75" customHeight="1">
      <c r="B33" s="54" t="s">
        <v>765</v>
      </c>
    </row>
    <row r="34" ht="15.75" customHeight="1">
      <c r="B34" s="54" t="s">
        <v>766</v>
      </c>
    </row>
    <row r="35" ht="15.75" customHeight="1">
      <c r="B35" s="54" t="s">
        <v>767</v>
      </c>
      <c r="C35" s="3" t="s">
        <v>761</v>
      </c>
    </row>
    <row r="36" ht="15.75" customHeight="1">
      <c r="B36" s="55" t="s">
        <v>768</v>
      </c>
      <c r="C36" s="3" t="s">
        <v>761</v>
      </c>
    </row>
    <row r="37" ht="15.75" customHeight="1">
      <c r="B37" s="55" t="s">
        <v>769</v>
      </c>
      <c r="C37" s="3" t="s">
        <v>761</v>
      </c>
    </row>
    <row r="38" ht="15.75" customHeight="1">
      <c r="B38" s="54" t="s">
        <v>770</v>
      </c>
      <c r="C38" s="3" t="s">
        <v>761</v>
      </c>
    </row>
    <row r="39" ht="15.75" customHeight="1">
      <c r="B39" s="55" t="s">
        <v>771</v>
      </c>
      <c r="C39" s="3" t="s">
        <v>761</v>
      </c>
    </row>
    <row r="40" ht="15.75" customHeight="1">
      <c r="B40" s="55" t="s">
        <v>772</v>
      </c>
      <c r="C40" s="3" t="s">
        <v>761</v>
      </c>
    </row>
    <row r="41" ht="15.75" customHeight="1">
      <c r="B41" s="54" t="s">
        <v>773</v>
      </c>
      <c r="C41" s="3" t="s">
        <v>761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